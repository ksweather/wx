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urt\Documents\EXCEL PROGRAMS\"/>
    </mc:Choice>
  </mc:AlternateContent>
  <bookViews>
    <workbookView xWindow="0" yWindow="0" windowWidth="28800" windowHeight="12435"/>
  </bookViews>
  <sheets>
    <sheet name="Sheet1" sheetId="1" r:id="rId1"/>
    <sheet name="Sheet2" sheetId="2" r:id="rId2"/>
    <sheet name="data" sheetId="3" r:id="rId3"/>
  </sheets>
  <definedNames>
    <definedName name="index.php?metarIds_KRDD_hoursStr_most_recent_only_std_trans_standard_num_metars_number_submit_metars_Retrieve" localSheetId="1">Sheet2!$A$2:$B$8</definedName>
    <definedName name="NAM_KBNY" localSheetId="2">data!$A$1:$A$165</definedName>
    <definedName name="NAM_KBNY_1" localSheetId="2">data!$D$1:$D$160</definedName>
    <definedName name="NAM_KBNY_10" localSheetId="2">data!$A$1:$A$160</definedName>
    <definedName name="NAM_KBNY_11" localSheetId="2">data!$A$1:$A$160</definedName>
    <definedName name="NAM_KBNY_12" localSheetId="2">data!$A$1:$A$150</definedName>
    <definedName name="NAM_KBNY_13" localSheetId="2">data!$A$1:$A$165</definedName>
    <definedName name="NAM_KBNY_14" localSheetId="2">data!$A$1:$A$170</definedName>
    <definedName name="NAM_KBNY_15" localSheetId="2">data!$A$1:$A$165</definedName>
    <definedName name="NAM_KBNY_16" localSheetId="2">data!$A$1:$A$165</definedName>
    <definedName name="NAM_KBNY_17" localSheetId="2">data!$A$1:$A$165</definedName>
    <definedName name="NAM_KBNY_19" localSheetId="2">data!$A$1:$A$165</definedName>
    <definedName name="NAM_KBNY_2" localSheetId="2">data!$C$1:$C$160</definedName>
    <definedName name="NAM_KBNY_20" localSheetId="2">data!$A$1:$A$160</definedName>
    <definedName name="NAM_KBNY_21" localSheetId="2">data!$A$1:$A$170</definedName>
    <definedName name="NAM_KBNY_22" localSheetId="2">data!$A$1:$A$170</definedName>
    <definedName name="NAM_KBNY_23" localSheetId="2">data!$A$1:$A$170</definedName>
    <definedName name="NAM_KBNY_24" localSheetId="2">data!$A$1:$A$165</definedName>
    <definedName name="NAM_KBNY_25" localSheetId="2">data!$A$1:$A$160</definedName>
    <definedName name="NAM_KBNY_26" localSheetId="2">data!$A$1:$A$150</definedName>
    <definedName name="NAM_KBNY_27" localSheetId="2">data!$A$1:$A$155</definedName>
    <definedName name="NAM_KBNY_28" localSheetId="2">data!$A$1:$A$160</definedName>
    <definedName name="NAM_KBNY_29" localSheetId="2">data!$A$1:$A$160</definedName>
    <definedName name="NAM_KBNY_3" localSheetId="2">data!$B$1:$B$160</definedName>
    <definedName name="NAM_KBNY_30" localSheetId="2">data!$A$1:$A$150</definedName>
    <definedName name="NAM_KBNY_31" localSheetId="2">data!$A$1:$A$160</definedName>
    <definedName name="NAM_KBNY_32" localSheetId="2">data!$A$1:$A$170</definedName>
    <definedName name="NAM_KBNY_33" localSheetId="2">data!$A$1:$A$170</definedName>
    <definedName name="NAM_KBNY_34" localSheetId="2">data!$A$1:$A$160</definedName>
    <definedName name="NAM_KBNY_4" localSheetId="2">data!$A$1:$A$160</definedName>
    <definedName name="NAM_KBNY_5" localSheetId="2">data!$A$1:$A$160</definedName>
    <definedName name="NAM_KBNY_6" localSheetId="2">data!$A$1:$A$160</definedName>
    <definedName name="NAM_KBNY_7" localSheetId="2">data!$A$1:$A$160</definedName>
    <definedName name="NAM_KBNY_8" localSheetId="2">data!$A$1:$A$160</definedName>
    <definedName name="NAM_KBNY_9" localSheetId="2">data!$A$1:$A$160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E1" i="1" l="1"/>
  <c r="D5" i="1"/>
  <c r="B13" i="1"/>
  <c r="B14" i="1" s="1"/>
  <c r="B15" i="1" s="1"/>
  <c r="B16" i="1" s="1"/>
  <c r="B17" i="1" s="1"/>
  <c r="B18" i="1" s="1"/>
  <c r="D13" i="1" s="1"/>
  <c r="D11" i="1"/>
  <c r="D10" i="1"/>
  <c r="D9" i="1"/>
  <c r="D8" i="1"/>
  <c r="D7" i="1"/>
  <c r="K13" i="1" s="1"/>
  <c r="D6" i="1"/>
  <c r="I13" i="1" s="1"/>
  <c r="D4" i="1"/>
  <c r="D3" i="1"/>
  <c r="C13" i="1" s="1"/>
  <c r="E13" i="1" l="1"/>
  <c r="O2" i="1" s="1"/>
  <c r="C14" i="1" s="1"/>
  <c r="C15" i="1" s="1"/>
  <c r="C16" i="1" s="1"/>
  <c r="C17" i="1" s="1"/>
  <c r="C18" i="1" s="1"/>
  <c r="G13" i="1"/>
  <c r="O3" i="1"/>
  <c r="O4" i="1"/>
  <c r="O6" i="1"/>
  <c r="O5" i="1"/>
  <c r="D14" i="1"/>
  <c r="D15" i="1" s="1"/>
  <c r="D16" i="1" s="1"/>
  <c r="D17" i="1" s="1"/>
  <c r="D18" i="1" s="1"/>
  <c r="F13" i="1" s="1"/>
  <c r="F14" i="1" s="1"/>
  <c r="F15" i="1" s="1"/>
  <c r="F16" i="1" s="1"/>
  <c r="F17" i="1" s="1"/>
  <c r="F18" i="1" s="1"/>
  <c r="K14" i="1" l="1"/>
  <c r="K15" i="1" s="1"/>
  <c r="K16" i="1" s="1"/>
  <c r="K17" i="1" s="1"/>
  <c r="K18" i="1" s="1"/>
  <c r="E14" i="1"/>
  <c r="E15" i="1" s="1"/>
  <c r="E16" i="1" s="1"/>
  <c r="E17" i="1" s="1"/>
  <c r="E18" i="1" s="1"/>
  <c r="G14" i="1"/>
  <c r="G15" i="1" s="1"/>
  <c r="G16" i="1" s="1"/>
  <c r="G17" i="1" s="1"/>
  <c r="G18" i="1" s="1"/>
  <c r="I14" i="1"/>
  <c r="I15" i="1" s="1"/>
  <c r="I16" i="1" s="1"/>
  <c r="I17" i="1" s="1"/>
  <c r="I18" i="1" s="1"/>
  <c r="H13" i="1"/>
  <c r="H14" i="1" s="1"/>
  <c r="H15" i="1" s="1"/>
  <c r="H16" i="1" s="1"/>
  <c r="H17" i="1" s="1"/>
  <c r="H18" i="1" s="1"/>
  <c r="J13" i="1" s="1"/>
  <c r="J14" i="1" s="1"/>
  <c r="J15" i="1" s="1"/>
  <c r="J16" i="1" s="1"/>
  <c r="J17" i="1" s="1"/>
  <c r="J1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68.226.77.253/text/NAM80km/NAM_KBNY.txt" htmlTables="1"/>
  </connection>
  <connection id="2" name="Connection1" type="4" refreshedVersion="5" background="1" saveData="1">
    <webPr sourceData="1" parsePre="1" consecutive="1" xl2000="1" url="http://68.226.77.253/text/NAM80km/NAM_KGTB.txt" htmlTables="1"/>
  </connection>
  <connection id="3" name="Connection10" type="4" refreshedVersion="5" background="1" saveData="1">
    <webPr sourceData="1" parsePre="1" consecutive="1" xl2000="1" url="http://68.226.77.253/text/NAM80km/NAM_KBNY.txt" htmlTables="1"/>
  </connection>
  <connection id="4" name="Connection11" type="4" refreshedVersion="5" background="1" saveData="1">
    <webPr sourceData="1" parsePre="1" consecutive="1" xl2000="1" url="http://68.226.77.253/text/NAM80km/NAM_KBNY.txt" htmlTables="1"/>
  </connection>
  <connection id="5" name="Connection12" type="4" refreshedVersion="5" background="1" saveData="1">
    <webPr sourceData="1" parsePre="1" consecutive="1" xl2000="1" url="http://68.226.77.253/text/NAM80km/NAM_KBNY.txt" htmlTables="1"/>
  </connection>
  <connection id="6" name="Connection13" type="4" refreshedVersion="5" background="1" saveData="1">
    <webPr sourceData="1" parsePre="1" consecutive="1" xl2000="1" url="http://68.226.77.253/text/NAM80km/NAM_KBNY.txt" htmlTables="1"/>
  </connection>
  <connection id="7" name="Connection14" type="4" refreshedVersion="5" background="1" saveData="1">
    <webPr sourceData="1" parsePre="1" consecutive="1" xl2000="1" url="http://68.226.77.253/text/NAM80km/NAM_KBNY.txt" htmlTables="1"/>
  </connection>
  <connection id="8" name="Connection15" type="4" refreshedVersion="5" background="1" saveData="1">
    <webPr sourceData="1" parsePre="1" consecutive="1" xl2000="1" url="http://68.226.77.253/text/NAM80km/NAM_KBNY.txt" htmlTables="1"/>
  </connection>
  <connection id="9" name="Connection16" type="4" refreshedVersion="5" background="1" saveData="1">
    <webPr sourceData="1" parsePre="1" consecutive="1" xl2000="1" url="http://68.226.77.253/text/NAM80km/NAM_KBNY.txt" htmlTables="1"/>
  </connection>
  <connection id="10" name="Connection17" type="4" refreshedVersion="5" background="1" saveData="1">
    <webPr sourceData="1" parsePre="1" consecutive="1" xl2000="1" url="http://68.226.77.253/text/NAM80km/NAM_KAAT.txt" htmlTables="1"/>
  </connection>
  <connection id="11" name="Connection18" type="4" refreshedVersion="5" background="1" saveData="1">
    <webPr sourceData="1" parsePre="1" consecutive="1" xl2000="1" url="http://68.226.77.253/text/NAM80km/NAM_KBLV.txt" htmlTables="1"/>
  </connection>
  <connection id="12" name="Connection19" type="4" refreshedVersion="5" background="1" saveData="1">
    <webPr sourceData="1" parsePre="1" consecutive="1" xl2000="1" url="http://68.226.77.253/text/NAM80km/NAM_KBIX.txt" htmlTables="1"/>
  </connection>
  <connection id="13" name="Connection2" type="4" refreshedVersion="5" background="1" saveData="1">
    <webPr sourceData="1" parsePre="1" consecutive="1" xl2000="1" url="http://68.226.77.253/text/NAM80km/NAM_KMIB.txt" htmlTables="1"/>
  </connection>
  <connection id="14" name="Connection20" type="4" refreshedVersion="5" background="1" saveData="1">
    <webPr sourceData="1" parsePre="1" consecutive="1" xl2000="1" url="http://68.226.77.253/text/NAM80km/NAM_KMIB.txt" htmlTables="1"/>
  </connection>
  <connection id="15" name="Connection21" type="4" refreshedVersion="5" background="1" saveData="1">
    <webPr sourceData="1" parsePre="1" consecutive="1" xl2000="1" url="http://68.226.77.253/text/NAM80km/NAM_KRDR.txt" htmlTables="1"/>
  </connection>
  <connection id="16" name="Connection22" type="4" refreshedVersion="5" background="1" saveData="1">
    <webPr sourceData="1" parsePre="1" consecutive="1" xl2000="1" url="http://68.226.77.253/text/NAM80km/NAM_KBIX.txt" htmlTables="1"/>
  </connection>
  <connection id="17" name="Connection23" type="4" refreshedVersion="5" background="1" saveData="1">
    <webPr sourceData="1" parsePre="1" consecutive="1" xl2000="1" url="http://68.226.77.253/text/NAM80km/NAM_KMOB.txt" htmlTables="1"/>
  </connection>
  <connection id="18" name="Connection24" type="4" refreshedVersion="5" background="1" saveData="1">
    <webPr sourceData="1" parsePre="1" consecutive="1" xl2000="1" url="http://68.226.77.253/text/NAM80km/NAM_KBLV.txt" htmlTables="1"/>
  </connection>
  <connection id="19" name="Connection25" type="4" refreshedVersion="5" background="1" saveData="1">
    <webPr sourceData="1" parsePre="1" consecutive="1" xl2000="1" url="http://68.226.77.253/text/NAM80km/NAM_KRDD.txt" htmlTables="1"/>
  </connection>
  <connection id="20" name="Connection26" type="4" refreshedVersion="5" background="1" saveData="1">
    <webPr sourceData="1" parsePre="1" consecutive="1" xl2000="1" url="http://weather.rap.ucar.edu/surface/index.php?metarIds=KRDD&amp;hoursStr=most+recent+only&amp;std_trans=standard&amp;num_metars=number&amp;submit_metars=Retrieve"/>
  </connection>
  <connection id="21" name="Connection27" type="4" refreshedVersion="5" background="1" saveData="1">
    <webPr sourceData="1" parsePre="1" consecutive="1" xl2000="1" url="http://68.226.77.253/text/NAM80km/NAM_KAAT.txt" htmlTables="1"/>
  </connection>
  <connection id="22" name="Connection28" type="4" refreshedVersion="5" background="1" saveData="1">
    <webPr sourceData="1" parsePre="1" consecutive="1" xl2000="1" url="http://68.226.77.253/text/NAM80km/NAM_KMHS.txt" htmlTables="1"/>
  </connection>
  <connection id="23" name="Connection29" type="4" refreshedVersion="5" background="1" saveData="1">
    <webPr sourceData="1" parsePre="1" consecutive="1" xl2000="1" url="http://68.226.77.253/text/NAM80km/NAM_KRDD.txt" htmlTables="1"/>
  </connection>
  <connection id="24" name="Connection3" type="4" refreshedVersion="5" background="1" saveData="1">
    <webPr sourceData="1" parsePre="1" consecutive="1" xl2000="1" url="http://68.226.77.253/text/NAM80km/NAM_KBNY.txt" htmlTables="1"/>
  </connection>
  <connection id="25" name="Connection30" type="4" refreshedVersion="5" background="1" saveData="1">
    <webPr sourceData="1" parsePre="1" consecutive="1" xl2000="1" url="http://68.226.77.253/text/NAM80km/NAM_KAAT.txt" htmlTables="1"/>
  </connection>
  <connection id="26" name="Connection31" type="4" refreshedVersion="5" background="1" saveData="1">
    <webPr sourceData="1" parsePre="1" consecutive="1" xl2000="1" url="http://68.226.77.253/text/NAM80km/NAM_krdd.txt" htmlTables="1"/>
  </connection>
  <connection id="27" name="Connection32" type="4" refreshedVersion="5" background="1" saveData="1">
    <webPr sourceData="1" parsePre="1" consecutive="1" xl2000="1" url="http://68.226.77.253/text/NAM80km/NAM_kbix.txt" htmlTables="1"/>
  </connection>
  <connection id="28" name="Connection33" type="4" refreshedVersion="5" background="1" saveData="1">
    <webPr sourceData="1" parsePre="1" consecutive="1" xl2000="1" url="http://68.226.77.253/text/NAM80km/NAM_KBIX.txt" htmlTables="1"/>
  </connection>
  <connection id="29" name="Connection34" type="4" refreshedVersion="5" background="1" saveData="1">
    <webPr sourceData="1" parsePre="1" consecutive="1" xl2000="1" url="http://68.226.77.253/text/NAM80km/NAM_KBNY.txt" htmlTables="1"/>
  </connection>
  <connection id="30" name="Connection4" type="4" refreshedVersion="5" background="1" saveData="1">
    <webPr sourceData="1" parsePre="1" consecutive="1" xl2000="1" url="http://68.226.77.253/text/NAM80km/NAM_KOFF.txt" htmlTables="1"/>
  </connection>
  <connection id="31" name="Connection5" type="4" refreshedVersion="5" background="1" saveData="1">
    <webPr sourceData="1" parsePre="1" consecutive="1" xl2000="1" url="http://68.226.77.253/text/NAM80km/NAM_KBNY.txt" htmlTables="1"/>
  </connection>
  <connection id="32" name="Connection6" type="4" refreshedVersion="5" background="1" saveData="1">
    <webPr sourceData="1" parsePre="1" consecutive="1" xl2000="1" url="http://68.226.77.253/text/NAM80km/NAM_KBNY.txt" htmlTables="1"/>
  </connection>
  <connection id="33" name="Connection7" type="4" refreshedVersion="5" background="1" saveData="1">
    <webPr sourceData="1" parsePre="1" consecutive="1" xl2000="1" url="http://68.226.77.253/text/NAM80km/NAM_KBIX.txt" htmlTables="1"/>
  </connection>
  <connection id="34" name="Connection8" type="4" refreshedVersion="5" background="1" saveData="1">
    <webPr sourceData="1" parsePre="1" consecutive="1" xl2000="1" url="http://68.226.77.253/text/NAM80km/NAM_KBNY.txt" htmlTables="1"/>
  </connection>
  <connection id="35" name="Connection9" type="4" refreshedVersion="5" background="1" saveData="1">
    <webPr sourceData="1" parsePre="1" consecutive="1" xl2000="1" url="http://68.226.77.253/text/NAM80km/NAM_KBNY.txt" htmlTables="1"/>
  </connection>
</connections>
</file>

<file path=xl/sharedStrings.xml><?xml version="1.0" encoding="utf-8"?>
<sst xmlns="http://schemas.openxmlformats.org/spreadsheetml/2006/main" count="165" uniqueCount="165">
  <si>
    <t xml:space="preserve">                                                                                                                            </t>
  </si>
  <si>
    <t>0hr</t>
  </si>
  <si>
    <t>6hr</t>
  </si>
  <si>
    <t>12hr</t>
  </si>
  <si>
    <t>18hr</t>
  </si>
  <si>
    <t>24hr</t>
  </si>
  <si>
    <t>30hr</t>
  </si>
  <si>
    <t>36hr</t>
  </si>
  <si>
    <t>42hr</t>
  </si>
  <si>
    <t>48hr</t>
  </si>
  <si>
    <t>54hr</t>
  </si>
  <si>
    <t>60hr</t>
  </si>
  <si>
    <t>66hr</t>
  </si>
  <si>
    <t>72hr</t>
  </si>
  <si>
    <t>78hr</t>
  </si>
  <si>
    <t>84hr</t>
  </si>
  <si>
    <t>AccumPrecip(in):</t>
  </si>
  <si>
    <t>0WetBlbHgt(amsl)</t>
  </si>
  <si>
    <t>Forecast Hours:</t>
  </si>
  <si>
    <t>Sfc Prs(mb):</t>
  </si>
  <si>
    <t>Mean SLP (mb):</t>
  </si>
  <si>
    <t>2m agl Tmp (F):</t>
  </si>
  <si>
    <t>2m agl Dewpt(F):</t>
  </si>
  <si>
    <t>2m agl RH (%):</t>
  </si>
  <si>
    <t>10m agl Dir:</t>
  </si>
  <si>
    <t>10m agl Spd(kt):</t>
  </si>
  <si>
    <t>6hr Precip (in):</t>
  </si>
  <si>
    <t>Sfc CAPE (J/kg):</t>
  </si>
  <si>
    <t>Sfc CINH (J/kg):</t>
  </si>
  <si>
    <t>0-3km Hel(J/kg):</t>
  </si>
  <si>
    <t>Precip H20 (in):</t>
  </si>
  <si>
    <t>Lifted Index(C):</t>
  </si>
  <si>
    <t>700mb VV(-ub/s):</t>
  </si>
  <si>
    <t>Thk1000-500mb(m)</t>
  </si>
  <si>
    <t>Thk1000-850mb(m)</t>
  </si>
  <si>
    <t>Thk850-700mb(m):</t>
  </si>
  <si>
    <t>SWEAT Index:</t>
  </si>
  <si>
    <t>Total Totals Idx</t>
  </si>
  <si>
    <t>Frz Hgt(ft amsl)</t>
  </si>
  <si>
    <t>Equil Prs (mb):</t>
  </si>
  <si>
    <t>Equil Hgt(amsl):</t>
  </si>
  <si>
    <t>Hail Size(in):</t>
  </si>
  <si>
    <t>Conv Wind Gust:</t>
  </si>
  <si>
    <t>Showalter Index:</t>
  </si>
  <si>
    <t>Cap Strength(C):</t>
  </si>
  <si>
    <t>Storm Dir (deg):</t>
  </si>
  <si>
    <t>Storm Spd (kts):</t>
  </si>
  <si>
    <t>2m HeatIndex(F):</t>
  </si>
  <si>
    <t>2m WindChill(F):</t>
  </si>
  <si>
    <t>1000mb GPH (m):</t>
  </si>
  <si>
    <t>950mb GPH (m):</t>
  </si>
  <si>
    <t>900mb GPH (m):</t>
  </si>
  <si>
    <t>850mb GPH (m):</t>
  </si>
  <si>
    <t>850mb Temp (C):</t>
  </si>
  <si>
    <t>850mb Dewpt(C):</t>
  </si>
  <si>
    <t>850mb RH (%):</t>
  </si>
  <si>
    <t>850mb Dir:</t>
  </si>
  <si>
    <t>850mb Speed(kt):</t>
  </si>
  <si>
    <t>800mb GPH (m):</t>
  </si>
  <si>
    <t>800mb Temp (C):</t>
  </si>
  <si>
    <t>800mb Dewpt(C):</t>
  </si>
  <si>
    <t>800mb RH (%):</t>
  </si>
  <si>
    <t>800mb Dir:</t>
  </si>
  <si>
    <t>800mb Speed(kt):</t>
  </si>
  <si>
    <t>750mb GPH (m):</t>
  </si>
  <si>
    <t>750mb Temp (C):</t>
  </si>
  <si>
    <t>750mb Dewpt(C):</t>
  </si>
  <si>
    <t>750mb RH (%):</t>
  </si>
  <si>
    <t>750mb Dir:</t>
  </si>
  <si>
    <t>750mb Speed(kt):</t>
  </si>
  <si>
    <t>700mb GPH (m):</t>
  </si>
  <si>
    <t>700mb Temp (C):</t>
  </si>
  <si>
    <t>700mb Dewpt(C):</t>
  </si>
  <si>
    <t>700mb RH (%):</t>
  </si>
  <si>
    <t>700mb Dir:</t>
  </si>
  <si>
    <t>700mb Speed(kt):</t>
  </si>
  <si>
    <t>650mb GPH (m):</t>
  </si>
  <si>
    <t>650mb Temp (C):</t>
  </si>
  <si>
    <t>650mb Dewpt(C):</t>
  </si>
  <si>
    <t>650mb RH (%):</t>
  </si>
  <si>
    <t>650mb Dir:</t>
  </si>
  <si>
    <t>650mb Speed(kt):</t>
  </si>
  <si>
    <t>600mb GPH (m):</t>
  </si>
  <si>
    <t>600mb Temp (C):</t>
  </si>
  <si>
    <t>600mb Dewpt(C):</t>
  </si>
  <si>
    <t>600mb RH (%):</t>
  </si>
  <si>
    <t>600mb Dir:</t>
  </si>
  <si>
    <t>600mb Speed(kt):</t>
  </si>
  <si>
    <t>550mb GPH (m):</t>
  </si>
  <si>
    <t>550mb Temp (C):</t>
  </si>
  <si>
    <t>550mb Dewpt(C):</t>
  </si>
  <si>
    <t>550mb RH (%):</t>
  </si>
  <si>
    <t>550mb Dir:</t>
  </si>
  <si>
    <t>550mb Speed(kt):</t>
  </si>
  <si>
    <t>500mb GPH (m):</t>
  </si>
  <si>
    <t>500mb Temp (C):</t>
  </si>
  <si>
    <t>500mb Dewpt(C):</t>
  </si>
  <si>
    <t>500mb RH (%):</t>
  </si>
  <si>
    <t>500mb Dir:</t>
  </si>
  <si>
    <t>500mb Speed(kt):</t>
  </si>
  <si>
    <t>450mb GPH (m):</t>
  </si>
  <si>
    <t>450mb Temp (C):</t>
  </si>
  <si>
    <t>450mb Dewpt(C):</t>
  </si>
  <si>
    <t>450mb RH (%):</t>
  </si>
  <si>
    <t>450mb Dir:</t>
  </si>
  <si>
    <t>450mb Speed(kt):</t>
  </si>
  <si>
    <t>400mb GPH (m):</t>
  </si>
  <si>
    <t>400mb Temp (C):</t>
  </si>
  <si>
    <t>400mb Dewpt(C):</t>
  </si>
  <si>
    <t>400mb RH (%):</t>
  </si>
  <si>
    <t>400mb Dir:</t>
  </si>
  <si>
    <t>400mb Speed(kt):</t>
  </si>
  <si>
    <t>350mb GPH (m):</t>
  </si>
  <si>
    <t>350mb Temp (C):</t>
  </si>
  <si>
    <t>350mb Dewpt(C):</t>
  </si>
  <si>
    <t>350mb RH (%):</t>
  </si>
  <si>
    <t>350mb Dir:</t>
  </si>
  <si>
    <t>350mb Speed(kt):</t>
  </si>
  <si>
    <t>300mb GPH (m):</t>
  </si>
  <si>
    <t>300mb Temp (C):</t>
  </si>
  <si>
    <t>300mb Dewpt(C):</t>
  </si>
  <si>
    <t>300mb RH (%):</t>
  </si>
  <si>
    <t>300mb Dir:</t>
  </si>
  <si>
    <t>300mb Speed(kt):</t>
  </si>
  <si>
    <t>250mb GPH (m):</t>
  </si>
  <si>
    <t>250mb Temp (C):</t>
  </si>
  <si>
    <t>250mb Dewpt(C):</t>
  </si>
  <si>
    <t>250mb RH (%):</t>
  </si>
  <si>
    <t>250mb Dir:</t>
  </si>
  <si>
    <t>250mb Speed(kt):</t>
  </si>
  <si>
    <t>200mb GPH (m):</t>
  </si>
  <si>
    <t>200mb Temp (C):</t>
  </si>
  <si>
    <t>200mb Dewpt(C):</t>
  </si>
  <si>
    <t>200mb RH (%):</t>
  </si>
  <si>
    <t>200mb Dir:</t>
  </si>
  <si>
    <t>200mb Speed(kt):</t>
  </si>
  <si>
    <t>150mb GPH (m):</t>
  </si>
  <si>
    <t>150mb Temp (C):</t>
  </si>
  <si>
    <t>150mb Dewpt(C):</t>
  </si>
  <si>
    <t>150mb RH (%):</t>
  </si>
  <si>
    <t>150mb Dir:</t>
  </si>
  <si>
    <t>150mb Speed(kt):</t>
  </si>
  <si>
    <t>100mb GPH (m):</t>
  </si>
  <si>
    <t>00HR</t>
  </si>
  <si>
    <t>06HR</t>
  </si>
  <si>
    <t>12HR</t>
  </si>
  <si>
    <t>18HR</t>
  </si>
  <si>
    <t>24HR</t>
  </si>
  <si>
    <t>30HR</t>
  </si>
  <si>
    <t>36HR</t>
  </si>
  <si>
    <t>42HR</t>
  </si>
  <si>
    <t>48HR</t>
  </si>
  <si>
    <t>100mb Temp (C):</t>
  </si>
  <si>
    <t>100mb Dewpt(C):</t>
  </si>
  <si>
    <t>100mb RH (%):</t>
  </si>
  <si>
    <t>100mb Dir:</t>
  </si>
  <si>
    <t>100mb Speed(kt):</t>
  </si>
  <si>
    <t xml:space="preserve">                         Station ID: KBNY Lat:   40.88 Long: -121.66                                                        </t>
  </si>
  <si>
    <t xml:space="preserve"> NAM Model Run: 12Z JUL 27, 2014                                                                                            </t>
  </si>
  <si>
    <t xml:space="preserve"> </t>
  </si>
  <si>
    <t>900mb Temp (C):</t>
  </si>
  <si>
    <t>900mb Dewpt(C):</t>
  </si>
  <si>
    <t>900mb RH (%):</t>
  </si>
  <si>
    <t>900mb Dir:</t>
  </si>
  <si>
    <t>900mb Speed(kt):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</si>
</sst>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0\Z"/>
    <numFmt numFmtId="168" formatCode="0000.0&quot;MB&quot;"/>
    <numFmt numFmtId="169" formatCode=".00"/>
    <numFmt numFmtId="170" formatCode="0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0" xfId="0" applyNumberFormat="1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169" fontId="0" fillId="3" borderId="0" xfId="0" applyNumberFormat="1" applyFill="1" applyBorder="1"/>
    <xf numFmtId="170" fontId="0" fillId="3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104775</xdr:rowOff>
        </xdr:from>
        <xdr:to>
          <xdr:col>6</xdr:col>
          <xdr:colOff>285750</xdr:colOff>
          <xdr:row>20</xdr:row>
          <xdr:rowOff>28575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ICAO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352426</xdr:colOff>
          <xdr:row>4</xdr:row>
          <xdr:rowOff>171450</xdr:rowOff>
        </xdr:from>
        <xdr:to>
          <xdr:col>8</xdr:col>
          <xdr:colOff>314326</xdr:colOff>
          <xdr:row>5</xdr:row>
          <xdr:rowOff>171450</xdr:rowOff>
        </xdr:to>
        <xdr:sp macro="" textlink="">
          <xdr:nvSpPr>
            <xdr:cNvPr id="1052" name="Label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INSERT CHANGE BELOW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7</xdr:row>
          <xdr:rowOff>104775</xdr:rowOff>
        </xdr:from>
        <xdr:to>
          <xdr:col>7</xdr:col>
          <xdr:colOff>571500</xdr:colOff>
          <xdr:row>9</xdr:row>
          <xdr:rowOff>9525</xdr:rowOff>
        </xdr:to>
        <xdr:sp macro="" textlink="">
          <xdr:nvSpPr>
            <xdr:cNvPr id="1053" name="Label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INSERT CURRENT BELOW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index.php?metarIds=KRDD&amp;hoursStr=most+recent+only&amp;std_trans=standard&amp;num_metars=number&amp;submit_metars=Retrieve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AM_KBNY_34" connectionId="2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AM_KBNY_33" connectionId="2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NAM_KBNY_32" connectionId="2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M_KBNY_31" connectionId="2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AM_KBNY_30" connectionId="2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AM_KBNY_29" connectionId="2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AM_KBNY_28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NAM_KBNY_16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NAM_KBNY_25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NAM_KBNY_14" connectionId="1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NAM_KBNY_12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NAM_KBNY_3" connectionId="3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NAM_KBNY_20" connectionId="3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NAM_KBNY_4" connectionId="3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NAM_KBNY_1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NAM_KBNY_8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NAM_KBNY_19" connectionId="3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NAM_KBNY_24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NAM_KBNY_6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NAM_KBNY_17" connectionId="1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NAM_KBNY_15" connectionId="1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NAM_KBNY_13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NAM_KBNY_23" connectionId="1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NAM_KBNY_5" connectionId="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NAM_KBNY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NAM_KBNY_22" connectionId="1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NAM_KBNY_27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NAM_KBNY_11" connectionId="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NAM_KBNY_7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NAM_KBNY_26" connectionId="2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NAM_KBNY_1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NAM_KBNY_2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NAM_KBNY_9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NAM_KBNY_21" connectionId="3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queryTable" Target="../queryTables/queryTable4.xml"/><Relationship Id="rId21" Type="http://schemas.openxmlformats.org/officeDocument/2006/relationships/queryTable" Target="../queryTables/queryTable22.xml"/><Relationship Id="rId34" Type="http://schemas.openxmlformats.org/officeDocument/2006/relationships/queryTable" Target="../queryTables/queryTable35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33" Type="http://schemas.openxmlformats.org/officeDocument/2006/relationships/queryTable" Target="../queryTables/queryTable34.xml"/><Relationship Id="rId2" Type="http://schemas.openxmlformats.org/officeDocument/2006/relationships/queryTable" Target="../queryTables/queryTable3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29" Type="http://schemas.openxmlformats.org/officeDocument/2006/relationships/queryTable" Target="../queryTables/queryTable30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32" Type="http://schemas.openxmlformats.org/officeDocument/2006/relationships/queryTable" Target="../queryTables/queryTable33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31" Type="http://schemas.openxmlformats.org/officeDocument/2006/relationships/queryTable" Target="../queryTables/queryTable32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Relationship Id="rId30" Type="http://schemas.openxmlformats.org/officeDocument/2006/relationships/queryTable" Target="../queryTables/queryTable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9"/>
  <sheetViews>
    <sheetView showGridLines="0" tabSelected="1" workbookViewId="0">
      <selection activeCell="A2" sqref="A2:XFD2"/>
    </sheetView>
  </sheetViews>
  <sheetFormatPr defaultRowHeight="15" x14ac:dyDescent="0.25"/>
  <cols>
    <col min="1" max="1" width="9.42578125" style="1" customWidth="1"/>
    <col min="2" max="2" width="11" style="1" customWidth="1"/>
    <col min="3" max="4" width="11.28515625" style="1" customWidth="1"/>
    <col min="5" max="5" width="9.5703125" style="1" customWidth="1"/>
    <col min="6" max="6" width="6.5703125" style="1" customWidth="1"/>
    <col min="7" max="10" width="9.140625" style="1"/>
    <col min="11" max="11" width="9.140625" style="1" customWidth="1"/>
    <col min="12" max="12" width="16.5703125" style="1" customWidth="1"/>
    <col min="13" max="13" width="12.7109375" style="1" customWidth="1"/>
    <col min="14" max="14" width="9.140625" style="1"/>
    <col min="15" max="15" width="12.7109375" style="1" bestFit="1" customWidth="1"/>
    <col min="16" max="16384" width="9.140625" style="1"/>
  </cols>
  <sheetData>
    <row r="1" spans="2:15" x14ac:dyDescent="0.25">
      <c r="E1" s="1" t="str">
        <f>data!A1</f>
        <v xml:space="preserve">                         Station ID: KBNY Lat:   40.88 Long: -121.66                                                        </v>
      </c>
    </row>
    <row r="2" spans="2:15" x14ac:dyDescent="0.25">
      <c r="D2" s="2">
        <v>12</v>
      </c>
      <c r="F2" s="1" t="str">
        <f>data!A2</f>
        <v xml:space="preserve"> NAM Model Run: 12Z JUL 27, 2014                                                                                            </v>
      </c>
      <c r="O2" s="1">
        <f>IF(G10&gt;0,(E13-C13)/6,((D4-D3)/6)/33.8451223600402)</f>
        <v>-3.9395139989438152E-3</v>
      </c>
    </row>
    <row r="3" spans="2:15" x14ac:dyDescent="0.25">
      <c r="C3" s="3" t="s">
        <v>143</v>
      </c>
      <c r="D3" s="4">
        <f>data!F6</f>
        <v>1013.6</v>
      </c>
      <c r="O3" s="1">
        <f>((D5-D4)/6)/33.8451223600402</f>
        <v>-1.5758055995773582E-2</v>
      </c>
    </row>
    <row r="4" spans="2:15" x14ac:dyDescent="0.25">
      <c r="C4" s="3" t="s">
        <v>144</v>
      </c>
      <c r="D4" s="4">
        <f>data!G6</f>
        <v>1012.8</v>
      </c>
      <c r="O4" s="1">
        <f>((D6-D5)/6)/33.8451223600402</f>
        <v>1.8220252245113255E-2</v>
      </c>
    </row>
    <row r="5" spans="2:15" x14ac:dyDescent="0.25">
      <c r="C5" s="5" t="s">
        <v>145</v>
      </c>
      <c r="D5" s="4">
        <f>data!H6</f>
        <v>1009.6</v>
      </c>
      <c r="O5" s="1">
        <f>((D7-D6)/6)/33.8451223600402</f>
        <v>6.8941494981515361E-3</v>
      </c>
    </row>
    <row r="6" spans="2:15" x14ac:dyDescent="0.25">
      <c r="C6" s="3" t="s">
        <v>146</v>
      </c>
      <c r="D6" s="4">
        <f>data!I6</f>
        <v>1013.3</v>
      </c>
      <c r="O6" s="1">
        <f>((D8-D7)/6)/33.8451223600402</f>
        <v>9.84878499735534E-4</v>
      </c>
    </row>
    <row r="7" spans="2:15" x14ac:dyDescent="0.25">
      <c r="C7" s="3" t="s">
        <v>147</v>
      </c>
      <c r="D7" s="4">
        <f>data!J6</f>
        <v>1014.7</v>
      </c>
      <c r="G7" s="11"/>
    </row>
    <row r="8" spans="2:15" x14ac:dyDescent="0.25">
      <c r="C8" s="3" t="s">
        <v>148</v>
      </c>
      <c r="D8" s="4">
        <f>data!K6</f>
        <v>1014.9</v>
      </c>
    </row>
    <row r="9" spans="2:15" x14ac:dyDescent="0.25">
      <c r="C9" s="3" t="s">
        <v>149</v>
      </c>
      <c r="D9" s="4">
        <f>data!L6</f>
        <v>1013.1</v>
      </c>
    </row>
    <row r="10" spans="2:15" x14ac:dyDescent="0.25">
      <c r="C10" s="3" t="s">
        <v>150</v>
      </c>
      <c r="D10" s="4">
        <f>data!M6</f>
        <v>1016.1</v>
      </c>
      <c r="G10" s="12"/>
    </row>
    <row r="11" spans="2:15" x14ac:dyDescent="0.25">
      <c r="C11" s="3" t="s">
        <v>151</v>
      </c>
      <c r="D11" s="4">
        <f>data!N6</f>
        <v>1016.6</v>
      </c>
    </row>
    <row r="13" spans="2:15" x14ac:dyDescent="0.25">
      <c r="B13" s="6">
        <f>D2</f>
        <v>12</v>
      </c>
      <c r="C13" s="7">
        <f>IF(G10&gt;0,(G10+G7),(D3/33.8451223600402)+G7)</f>
        <v>29.948185419968329</v>
      </c>
      <c r="D13" s="6">
        <f>IF((B18+1)&gt;=24,0,B18+1)</f>
        <v>18</v>
      </c>
      <c r="E13" s="7">
        <f>(D4/33.8451223600402)+G7</f>
        <v>29.924548335974666</v>
      </c>
      <c r="F13" s="6">
        <f>IF((D18+1)&gt;=24,0,D18+1)</f>
        <v>0</v>
      </c>
      <c r="G13" s="7">
        <f>(D5/33.8451223600402)+G7</f>
        <v>29.830000000000027</v>
      </c>
      <c r="H13" s="6">
        <f>IF((F18+1)&gt;=24,0,F18+1)</f>
        <v>6</v>
      </c>
      <c r="I13" s="7">
        <f>(D6/33.8451223600402)+G7</f>
        <v>29.939321513470706</v>
      </c>
      <c r="J13" s="6">
        <f>IF(H18+1&gt;=24,0,H18+1)</f>
        <v>12</v>
      </c>
      <c r="K13" s="7">
        <f>(D7/33.8451223600402)+G7</f>
        <v>29.980686410459615</v>
      </c>
    </row>
    <row r="14" spans="2:15" x14ac:dyDescent="0.25">
      <c r="B14" s="6">
        <f>B13+1</f>
        <v>13</v>
      </c>
      <c r="C14" s="7">
        <f>C13+O2</f>
        <v>29.944245905969385</v>
      </c>
      <c r="D14" s="6">
        <f>D13+1</f>
        <v>19</v>
      </c>
      <c r="E14" s="7">
        <f>E13+O3</f>
        <v>29.908790279978891</v>
      </c>
      <c r="F14" s="6">
        <f>F13+1</f>
        <v>1</v>
      </c>
      <c r="G14" s="7">
        <f>G13+O4</f>
        <v>29.848220252245142</v>
      </c>
      <c r="H14" s="6">
        <f>H13+1</f>
        <v>7</v>
      </c>
      <c r="I14" s="7">
        <f>I13+O5</f>
        <v>29.946215662968857</v>
      </c>
      <c r="J14" s="6">
        <f>J13+1</f>
        <v>13</v>
      </c>
      <c r="K14" s="7">
        <f>K13+O6</f>
        <v>29.981671288959351</v>
      </c>
    </row>
    <row r="15" spans="2:15" x14ac:dyDescent="0.25">
      <c r="B15" s="6">
        <f t="shared" ref="B15:B18" si="0">B14+1</f>
        <v>14</v>
      </c>
      <c r="C15" s="7">
        <f>C14+O2</f>
        <v>29.940306391970442</v>
      </c>
      <c r="D15" s="6">
        <f t="shared" ref="D15:D18" si="1">D14+1</f>
        <v>20</v>
      </c>
      <c r="E15" s="7">
        <f>E14+O3</f>
        <v>29.893032223983116</v>
      </c>
      <c r="F15" s="6">
        <f t="shared" ref="F15:F18" si="2">F14+1</f>
        <v>2</v>
      </c>
      <c r="G15" s="7">
        <f>G14+O4</f>
        <v>29.866440504490257</v>
      </c>
      <c r="H15" s="6">
        <f t="shared" ref="H15:H18" si="3">H14+1</f>
        <v>8</v>
      </c>
      <c r="I15" s="7">
        <f>I14+O5</f>
        <v>29.953109812467009</v>
      </c>
      <c r="J15" s="6">
        <f t="shared" ref="J15:J18" si="4">J14+1</f>
        <v>14</v>
      </c>
      <c r="K15" s="7">
        <f>K14+O6</f>
        <v>29.982656167459087</v>
      </c>
    </row>
    <row r="16" spans="2:15" x14ac:dyDescent="0.25">
      <c r="B16" s="6">
        <f t="shared" si="0"/>
        <v>15</v>
      </c>
      <c r="C16" s="7">
        <f>C15+O2</f>
        <v>29.936366877971498</v>
      </c>
      <c r="D16" s="6">
        <f t="shared" si="1"/>
        <v>21</v>
      </c>
      <c r="E16" s="7">
        <f>E15+O3</f>
        <v>29.877274167987341</v>
      </c>
      <c r="F16" s="6">
        <f t="shared" si="2"/>
        <v>3</v>
      </c>
      <c r="G16" s="7">
        <f>G15+O4</f>
        <v>29.884660756735371</v>
      </c>
      <c r="H16" s="6">
        <f t="shared" si="3"/>
        <v>9</v>
      </c>
      <c r="I16" s="7">
        <f>I15+O5</f>
        <v>29.96000396196516</v>
      </c>
      <c r="J16" s="6">
        <f t="shared" si="4"/>
        <v>15</v>
      </c>
      <c r="K16" s="7">
        <f>K15+O6</f>
        <v>29.983641045958823</v>
      </c>
    </row>
    <row r="17" spans="2:11" x14ac:dyDescent="0.25">
      <c r="B17" s="6">
        <f t="shared" si="0"/>
        <v>16</v>
      </c>
      <c r="C17" s="7">
        <f>C16+O2</f>
        <v>29.932427363972554</v>
      </c>
      <c r="D17" s="6">
        <f t="shared" si="1"/>
        <v>22</v>
      </c>
      <c r="E17" s="7">
        <f>E16+O3</f>
        <v>29.861516111991566</v>
      </c>
      <c r="F17" s="6">
        <f t="shared" si="2"/>
        <v>4</v>
      </c>
      <c r="G17" s="7">
        <f>G16+O4</f>
        <v>29.902881008980486</v>
      </c>
      <c r="H17" s="6">
        <f t="shared" si="3"/>
        <v>10</v>
      </c>
      <c r="I17" s="7">
        <f>I16+O5</f>
        <v>29.966898111463312</v>
      </c>
      <c r="J17" s="6">
        <f t="shared" si="4"/>
        <v>16</v>
      </c>
      <c r="K17" s="7">
        <f>K16+O6</f>
        <v>29.984625924458559</v>
      </c>
    </row>
    <row r="18" spans="2:11" x14ac:dyDescent="0.25">
      <c r="B18" s="6">
        <f t="shared" si="0"/>
        <v>17</v>
      </c>
      <c r="C18" s="7">
        <f>C17+O2</f>
        <v>29.92848784997361</v>
      </c>
      <c r="D18" s="6">
        <f t="shared" si="1"/>
        <v>23</v>
      </c>
      <c r="E18" s="7">
        <f>E17+O3</f>
        <v>29.845758055995791</v>
      </c>
      <c r="F18" s="6">
        <f t="shared" si="2"/>
        <v>5</v>
      </c>
      <c r="G18" s="7">
        <f>G17+O4</f>
        <v>29.921101261225601</v>
      </c>
      <c r="H18" s="6">
        <f t="shared" si="3"/>
        <v>11</v>
      </c>
      <c r="I18" s="7">
        <f>I17+O5</f>
        <v>29.973792260961464</v>
      </c>
      <c r="J18" s="6">
        <f t="shared" si="4"/>
        <v>17</v>
      </c>
      <c r="K18" s="7">
        <f>K17+O6</f>
        <v>29.985610802958295</v>
      </c>
    </row>
    <row r="19" spans="2:11" x14ac:dyDescent="0.25">
      <c r="B19" s="8"/>
      <c r="D19" s="9"/>
      <c r="E19" s="10"/>
      <c r="G19" s="10"/>
      <c r="I19" s="10"/>
    </row>
  </sheetData>
  <pageMargins left="0.7" right="0.7" top="0.75" bottom="0.75" header="0.3" footer="0.3"/>
  <pageSetup orientation="portrait" r:id="rId1"/>
  <ignoredErrors>
    <ignoredError sqref="E13:E18 G13:G18 I14:I18 C14:C1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Macro11">
                <anchor moveWithCells="1" sizeWithCells="1">
                  <from>
                    <xdr:col>3</xdr:col>
                    <xdr:colOff>438150</xdr:colOff>
                    <xdr:row>18</xdr:row>
                    <xdr:rowOff>104775</xdr:rowOff>
                  </from>
                  <to>
                    <xdr:col>6</xdr:col>
                    <xdr:colOff>285750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Label 28">
              <controlPr defaultSize="0" autoFill="0" autoLine="0" autoPict="0">
                <anchor moveWithCells="1" sizeWithCells="1">
                  <from>
                    <xdr:col>5</xdr:col>
                    <xdr:colOff>352425</xdr:colOff>
                    <xdr:row>4</xdr:row>
                    <xdr:rowOff>171450</xdr:rowOff>
                  </from>
                  <to>
                    <xdr:col>8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Label 29">
              <controlPr defaultSize="0" autoFill="0" autoLine="0" autoPict="0">
                <anchor moveWithCells="1" sizeWithCells="1">
                  <from>
                    <xdr:col>5</xdr:col>
                    <xdr:colOff>361950</xdr:colOff>
                    <xdr:row>7</xdr:row>
                    <xdr:rowOff>104775</xdr:rowOff>
                  </from>
                  <to>
                    <xdr:col>7</xdr:col>
                    <xdr:colOff>571500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1" sqref="A1:A11"/>
    </sheetView>
  </sheetViews>
  <sheetFormatPr defaultRowHeight="15" x14ac:dyDescent="0.25"/>
  <cols>
    <col min="1" max="1" width="74.28515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60"/>
  <sheetViews>
    <sheetView workbookViewId="0">
      <selection activeCell="A4" sqref="A4:A159"/>
    </sheetView>
  </sheetViews>
  <sheetFormatPr defaultRowHeight="15" x14ac:dyDescent="0.25"/>
  <cols>
    <col min="1" max="1" width="18.140625" customWidth="1"/>
    <col min="2" max="2" width="7" customWidth="1"/>
    <col min="3" max="3" width="7.7109375" customWidth="1"/>
    <col min="4" max="4" width="7.42578125" customWidth="1"/>
    <col min="5" max="5" width="6" customWidth="1"/>
    <col min="6" max="6" width="7.7109375" customWidth="1"/>
    <col min="7" max="7" width="10" customWidth="1"/>
    <col min="8" max="8" width="12.42578125" customWidth="1"/>
    <col min="9" max="9" width="11.28515625" customWidth="1"/>
    <col min="14" max="14" width="7.5703125" customWidth="1"/>
    <col min="21" max="21" width="17.42578125" customWidth="1"/>
  </cols>
  <sheetData>
    <row r="1" spans="1:16" x14ac:dyDescent="0.25">
      <c r="A1" t="s">
        <v>157</v>
      </c>
    </row>
    <row r="2" spans="1:16" x14ac:dyDescent="0.25">
      <c r="A2" t="s">
        <v>158</v>
      </c>
    </row>
    <row r="3" spans="1:16" x14ac:dyDescent="0.25">
      <c r="A3" t="s">
        <v>0</v>
      </c>
    </row>
    <row r="4" spans="1:16" x14ac:dyDescent="0.25">
      <c r="A4" t="s">
        <v>18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  <c r="M4" t="s">
        <v>12</v>
      </c>
      <c r="N4" t="s">
        <v>13</v>
      </c>
      <c r="O4" t="s">
        <v>14</v>
      </c>
      <c r="P4" t="s">
        <v>15</v>
      </c>
    </row>
    <row r="5" spans="1:16" x14ac:dyDescent="0.25">
      <c r="A5" t="s">
        <v>19</v>
      </c>
      <c r="B5">
        <v>908.3</v>
      </c>
      <c r="C5">
        <v>909.5</v>
      </c>
      <c r="D5">
        <v>907.3</v>
      </c>
      <c r="E5">
        <v>909.3</v>
      </c>
      <c r="F5">
        <v>909.5</v>
      </c>
      <c r="G5">
        <v>910.1</v>
      </c>
      <c r="H5">
        <v>908.2</v>
      </c>
      <c r="I5">
        <v>910.3</v>
      </c>
      <c r="J5">
        <v>910</v>
      </c>
      <c r="K5">
        <v>910.9</v>
      </c>
      <c r="L5">
        <v>910.3</v>
      </c>
      <c r="M5">
        <v>911.4</v>
      </c>
      <c r="N5">
        <v>910.8</v>
      </c>
      <c r="O5">
        <v>910.2</v>
      </c>
      <c r="P5">
        <v>908.2</v>
      </c>
    </row>
    <row r="6" spans="1:16" x14ac:dyDescent="0.25">
      <c r="A6" t="s">
        <v>20</v>
      </c>
      <c r="B6">
        <v>1013.3</v>
      </c>
      <c r="C6">
        <v>1012.9</v>
      </c>
      <c r="D6">
        <v>1008.6</v>
      </c>
      <c r="E6">
        <v>1012</v>
      </c>
      <c r="F6">
        <v>1013.6</v>
      </c>
      <c r="G6">
        <v>1012.8</v>
      </c>
      <c r="H6">
        <v>1009.6</v>
      </c>
      <c r="I6">
        <v>1013.3</v>
      </c>
      <c r="J6">
        <v>1014.7</v>
      </c>
      <c r="K6">
        <v>1014.9</v>
      </c>
      <c r="L6">
        <v>1013.1</v>
      </c>
      <c r="M6">
        <v>1016.1</v>
      </c>
      <c r="N6">
        <v>1016.6</v>
      </c>
      <c r="O6">
        <v>1014.1</v>
      </c>
      <c r="P6">
        <v>1010.4</v>
      </c>
    </row>
    <row r="7" spans="1:16" x14ac:dyDescent="0.25">
      <c r="A7" t="s">
        <v>21</v>
      </c>
      <c r="B7">
        <v>67.5</v>
      </c>
      <c r="C7">
        <v>83.8</v>
      </c>
      <c r="D7">
        <v>93.3</v>
      </c>
      <c r="E7">
        <v>79.5</v>
      </c>
      <c r="F7">
        <v>73</v>
      </c>
      <c r="G7">
        <v>89.2</v>
      </c>
      <c r="H7">
        <v>94</v>
      </c>
      <c r="I7">
        <v>78</v>
      </c>
      <c r="J7">
        <v>71.599999999999994</v>
      </c>
      <c r="K7">
        <v>81.8</v>
      </c>
      <c r="L7">
        <v>84.7</v>
      </c>
      <c r="M7">
        <v>71.3</v>
      </c>
      <c r="N7">
        <v>62.5</v>
      </c>
      <c r="O7">
        <v>84</v>
      </c>
      <c r="P7">
        <v>90.2</v>
      </c>
    </row>
    <row r="8" spans="1:16" x14ac:dyDescent="0.25">
      <c r="A8" t="s">
        <v>22</v>
      </c>
      <c r="B8">
        <v>37.6</v>
      </c>
      <c r="C8">
        <v>35.4</v>
      </c>
      <c r="D8">
        <v>18.899999999999999</v>
      </c>
      <c r="E8">
        <v>33</v>
      </c>
      <c r="F8">
        <v>36</v>
      </c>
      <c r="G8">
        <v>33.9</v>
      </c>
      <c r="H8">
        <v>21.8</v>
      </c>
      <c r="I8">
        <v>34.5</v>
      </c>
      <c r="J8">
        <v>39.799999999999997</v>
      </c>
      <c r="K8">
        <v>37.799999999999997</v>
      </c>
      <c r="L8">
        <v>35.700000000000003</v>
      </c>
      <c r="M8">
        <v>44</v>
      </c>
      <c r="N8">
        <v>44.4</v>
      </c>
      <c r="O8">
        <v>40.9</v>
      </c>
      <c r="P8">
        <v>26</v>
      </c>
    </row>
    <row r="9" spans="1:16" x14ac:dyDescent="0.25">
      <c r="A9" t="s">
        <v>23</v>
      </c>
      <c r="B9">
        <v>32</v>
      </c>
      <c r="C9">
        <v>17</v>
      </c>
      <c r="D9">
        <v>6</v>
      </c>
      <c r="E9">
        <v>18</v>
      </c>
      <c r="F9">
        <v>25</v>
      </c>
      <c r="G9">
        <v>13</v>
      </c>
      <c r="H9">
        <v>7</v>
      </c>
      <c r="I9">
        <v>20</v>
      </c>
      <c r="J9">
        <v>30</v>
      </c>
      <c r="K9">
        <v>20</v>
      </c>
      <c r="L9">
        <v>16</v>
      </c>
      <c r="M9">
        <v>36</v>
      </c>
      <c r="N9">
        <v>51</v>
      </c>
      <c r="O9">
        <v>21</v>
      </c>
      <c r="P9">
        <v>9</v>
      </c>
    </row>
    <row r="10" spans="1:16" x14ac:dyDescent="0.25">
      <c r="A10" t="s">
        <v>24</v>
      </c>
      <c r="B10">
        <v>103</v>
      </c>
      <c r="C10">
        <v>221</v>
      </c>
      <c r="D10">
        <v>236</v>
      </c>
      <c r="E10">
        <v>254</v>
      </c>
      <c r="F10">
        <v>106</v>
      </c>
      <c r="G10">
        <v>237</v>
      </c>
      <c r="H10">
        <v>245</v>
      </c>
      <c r="I10">
        <v>268</v>
      </c>
      <c r="J10">
        <v>204</v>
      </c>
      <c r="K10">
        <v>204</v>
      </c>
      <c r="L10">
        <v>176</v>
      </c>
      <c r="M10">
        <v>80</v>
      </c>
      <c r="N10">
        <v>87</v>
      </c>
      <c r="O10">
        <v>188</v>
      </c>
      <c r="P10">
        <v>249</v>
      </c>
    </row>
    <row r="11" spans="1:16" x14ac:dyDescent="0.25">
      <c r="A11" t="s">
        <v>25</v>
      </c>
      <c r="B11">
        <v>1</v>
      </c>
      <c r="C11">
        <v>3</v>
      </c>
      <c r="D11">
        <v>7</v>
      </c>
      <c r="E11">
        <v>2</v>
      </c>
      <c r="F11">
        <v>1</v>
      </c>
      <c r="G11">
        <v>5</v>
      </c>
      <c r="H11">
        <v>9</v>
      </c>
      <c r="I11">
        <v>3</v>
      </c>
      <c r="J11">
        <v>1</v>
      </c>
      <c r="K11">
        <v>6</v>
      </c>
      <c r="L11">
        <v>4</v>
      </c>
      <c r="M11">
        <v>5</v>
      </c>
      <c r="N11">
        <v>4</v>
      </c>
      <c r="O11">
        <v>3</v>
      </c>
      <c r="P11">
        <v>6</v>
      </c>
    </row>
    <row r="12" spans="1:16" x14ac:dyDescent="0.25">
      <c r="A12" t="s">
        <v>26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27</v>
      </c>
      <c r="B14">
        <v>0</v>
      </c>
      <c r="C14">
        <v>5.0999999999999996</v>
      </c>
      <c r="D14">
        <v>0</v>
      </c>
      <c r="E14">
        <v>0</v>
      </c>
      <c r="F14">
        <v>14.4</v>
      </c>
      <c r="G14">
        <v>0</v>
      </c>
      <c r="H14">
        <v>0</v>
      </c>
      <c r="I14">
        <v>18.3</v>
      </c>
      <c r="J14">
        <v>14.1</v>
      </c>
      <c r="K14">
        <v>0</v>
      </c>
      <c r="L14">
        <v>0</v>
      </c>
      <c r="M14">
        <v>0</v>
      </c>
      <c r="N14">
        <v>0.5</v>
      </c>
      <c r="O14">
        <v>10.1</v>
      </c>
      <c r="P14">
        <v>4.5</v>
      </c>
    </row>
    <row r="15" spans="1:16" x14ac:dyDescent="0.25">
      <c r="A15" t="s">
        <v>28</v>
      </c>
      <c r="B15">
        <v>0</v>
      </c>
      <c r="C15">
        <v>0</v>
      </c>
      <c r="D15">
        <v>0</v>
      </c>
      <c r="E15">
        <v>0</v>
      </c>
      <c r="F15">
        <v>-6.1</v>
      </c>
      <c r="G15">
        <v>-1.2</v>
      </c>
      <c r="H15">
        <v>0</v>
      </c>
      <c r="I15">
        <v>-5.7</v>
      </c>
      <c r="J15">
        <v>0</v>
      </c>
      <c r="K15">
        <v>-1.8</v>
      </c>
      <c r="L15">
        <v>-0.5</v>
      </c>
      <c r="M15">
        <v>0</v>
      </c>
      <c r="N15">
        <v>-3.9</v>
      </c>
      <c r="O15">
        <v>-61.5</v>
      </c>
      <c r="P15">
        <v>0</v>
      </c>
    </row>
    <row r="16" spans="1:16" x14ac:dyDescent="0.25">
      <c r="A16" t="s">
        <v>29</v>
      </c>
      <c r="B16">
        <v>19.399999999999999</v>
      </c>
      <c r="C16">
        <v>27.8</v>
      </c>
      <c r="D16">
        <v>55</v>
      </c>
      <c r="E16">
        <v>68.599999999999994</v>
      </c>
      <c r="F16">
        <v>59</v>
      </c>
      <c r="G16">
        <v>65</v>
      </c>
      <c r="H16">
        <v>32.5</v>
      </c>
      <c r="I16">
        <v>66.3</v>
      </c>
      <c r="J16">
        <v>14.7</v>
      </c>
      <c r="K16">
        <v>11.2</v>
      </c>
      <c r="L16">
        <v>18.3</v>
      </c>
      <c r="M16">
        <v>137.5</v>
      </c>
      <c r="N16">
        <v>97.7</v>
      </c>
      <c r="O16">
        <v>22.1</v>
      </c>
      <c r="P16">
        <v>-7.3</v>
      </c>
    </row>
    <row r="17" spans="1:16" x14ac:dyDescent="0.25">
      <c r="A17" t="s">
        <v>30</v>
      </c>
      <c r="B17">
        <v>0.51</v>
      </c>
      <c r="C17">
        <v>0.6</v>
      </c>
      <c r="D17">
        <v>0.61</v>
      </c>
      <c r="E17">
        <v>0.65</v>
      </c>
      <c r="F17">
        <v>0.62</v>
      </c>
      <c r="G17">
        <v>0.55000000000000004</v>
      </c>
      <c r="H17">
        <v>0.54</v>
      </c>
      <c r="I17">
        <v>0.62</v>
      </c>
      <c r="J17">
        <v>0.68</v>
      </c>
      <c r="K17">
        <v>0.67</v>
      </c>
      <c r="L17">
        <v>0.71</v>
      </c>
      <c r="M17">
        <v>0.71</v>
      </c>
      <c r="N17">
        <v>0.57999999999999996</v>
      </c>
      <c r="O17">
        <v>0.49</v>
      </c>
      <c r="P17">
        <v>0.51</v>
      </c>
    </row>
    <row r="18" spans="1:16" x14ac:dyDescent="0.25">
      <c r="A18" t="s">
        <v>31</v>
      </c>
      <c r="B18">
        <v>2.2000000000000002</v>
      </c>
      <c r="C18">
        <v>1.1000000000000001</v>
      </c>
      <c r="D18">
        <v>0.8</v>
      </c>
      <c r="E18">
        <v>-0.7</v>
      </c>
      <c r="F18">
        <v>0</v>
      </c>
      <c r="G18">
        <v>0.1</v>
      </c>
      <c r="H18">
        <v>0.9</v>
      </c>
      <c r="I18">
        <v>0.5</v>
      </c>
      <c r="J18">
        <v>1.1000000000000001</v>
      </c>
      <c r="K18">
        <v>1.5</v>
      </c>
      <c r="L18">
        <v>1.7</v>
      </c>
      <c r="M18">
        <v>1.1000000000000001</v>
      </c>
      <c r="N18">
        <v>1.5</v>
      </c>
      <c r="O18">
        <v>0.7</v>
      </c>
      <c r="P18">
        <v>1.9</v>
      </c>
    </row>
    <row r="19" spans="1:16" x14ac:dyDescent="0.25">
      <c r="A19" t="s">
        <v>32</v>
      </c>
      <c r="B19">
        <v>-0.9</v>
      </c>
      <c r="C19">
        <v>-5.0999999999999996</v>
      </c>
      <c r="D19">
        <v>-2.7</v>
      </c>
      <c r="E19">
        <v>-0.4</v>
      </c>
      <c r="F19">
        <v>-0.5</v>
      </c>
      <c r="G19">
        <v>0.2</v>
      </c>
      <c r="H19">
        <v>0.2</v>
      </c>
      <c r="I19">
        <v>-0.6</v>
      </c>
      <c r="J19">
        <v>-0.1</v>
      </c>
      <c r="K19">
        <v>-4.4000000000000004</v>
      </c>
      <c r="L19">
        <v>-1.2</v>
      </c>
      <c r="M19">
        <v>1.8</v>
      </c>
      <c r="N19">
        <v>-0.7</v>
      </c>
      <c r="O19">
        <v>-0.2</v>
      </c>
      <c r="P19">
        <v>1.4</v>
      </c>
    </row>
    <row r="20" spans="1:16" x14ac:dyDescent="0.25">
      <c r="A20" t="s">
        <v>33</v>
      </c>
      <c r="B20">
        <v>5776.2</v>
      </c>
      <c r="C20">
        <v>5780.9</v>
      </c>
      <c r="D20">
        <v>5823.4</v>
      </c>
      <c r="E20">
        <v>5800.4</v>
      </c>
      <c r="F20">
        <v>5779</v>
      </c>
      <c r="G20">
        <v>5796.9</v>
      </c>
      <c r="H20">
        <v>5827.6</v>
      </c>
      <c r="I20">
        <v>5796.8</v>
      </c>
      <c r="J20">
        <v>5767.1</v>
      </c>
      <c r="K20">
        <v>5760.5</v>
      </c>
      <c r="L20">
        <v>5765.3</v>
      </c>
      <c r="M20">
        <v>5737.6</v>
      </c>
      <c r="N20">
        <v>5728.1</v>
      </c>
      <c r="O20">
        <v>5763.4</v>
      </c>
      <c r="P20">
        <v>5805.9</v>
      </c>
    </row>
    <row r="21" spans="1:16" x14ac:dyDescent="0.25">
      <c r="A21" t="s">
        <v>34</v>
      </c>
      <c r="B21">
        <v>1416.8</v>
      </c>
      <c r="C21">
        <v>1437.2</v>
      </c>
      <c r="D21">
        <v>1460</v>
      </c>
      <c r="E21">
        <v>1444</v>
      </c>
      <c r="F21">
        <v>1429</v>
      </c>
      <c r="G21">
        <v>1446.7</v>
      </c>
      <c r="H21">
        <v>1461.1</v>
      </c>
      <c r="I21">
        <v>1441</v>
      </c>
      <c r="J21">
        <v>1423.5</v>
      </c>
      <c r="K21">
        <v>1431.8</v>
      </c>
      <c r="L21">
        <v>1442.3</v>
      </c>
      <c r="M21">
        <v>1420.9</v>
      </c>
      <c r="N21">
        <v>1408.9</v>
      </c>
      <c r="O21">
        <v>1433</v>
      </c>
      <c r="P21">
        <v>1450.9</v>
      </c>
    </row>
    <row r="22" spans="1:16" x14ac:dyDescent="0.25">
      <c r="A22" t="s">
        <v>35</v>
      </c>
      <c r="B22">
        <v>1656.4</v>
      </c>
      <c r="C22">
        <v>1659.2</v>
      </c>
      <c r="D22">
        <v>1669.4</v>
      </c>
      <c r="E22">
        <v>1662</v>
      </c>
      <c r="F22">
        <v>1658.8</v>
      </c>
      <c r="G22">
        <v>1659.8</v>
      </c>
      <c r="H22">
        <v>1668.8</v>
      </c>
      <c r="I22">
        <v>1658.6</v>
      </c>
      <c r="J22">
        <v>1654.7</v>
      </c>
      <c r="K22">
        <v>1648.3</v>
      </c>
      <c r="L22">
        <v>1646.8</v>
      </c>
      <c r="M22">
        <v>1640.6</v>
      </c>
      <c r="N22">
        <v>1640.6</v>
      </c>
      <c r="O22">
        <v>1645.2</v>
      </c>
      <c r="P22">
        <v>1659.7</v>
      </c>
    </row>
    <row r="23" spans="1:16" x14ac:dyDescent="0.25">
      <c r="A23" t="s">
        <v>36</v>
      </c>
      <c r="B23">
        <v>49.2</v>
      </c>
      <c r="C23">
        <v>56.4</v>
      </c>
      <c r="D23">
        <v>31.7</v>
      </c>
      <c r="E23">
        <v>77.099999999999994</v>
      </c>
      <c r="F23">
        <v>71.900000000000006</v>
      </c>
      <c r="G23">
        <v>78.599999999999994</v>
      </c>
      <c r="H23">
        <v>42</v>
      </c>
      <c r="I23">
        <v>68.400000000000006</v>
      </c>
      <c r="J23">
        <v>75.3</v>
      </c>
      <c r="K23">
        <v>71.900000000000006</v>
      </c>
      <c r="L23">
        <v>59.1</v>
      </c>
      <c r="M23">
        <v>112.3</v>
      </c>
      <c r="N23">
        <v>116.7</v>
      </c>
      <c r="O23">
        <v>81.599999999999994</v>
      </c>
      <c r="P23">
        <v>42.7</v>
      </c>
    </row>
    <row r="24" spans="1:16" x14ac:dyDescent="0.25">
      <c r="A24" t="s">
        <v>37</v>
      </c>
      <c r="B24">
        <v>43.5</v>
      </c>
      <c r="C24">
        <v>47.3</v>
      </c>
      <c r="D24">
        <v>48.2</v>
      </c>
      <c r="E24">
        <v>49.8</v>
      </c>
      <c r="F24">
        <v>48.7</v>
      </c>
      <c r="G24">
        <v>49.8</v>
      </c>
      <c r="H24">
        <v>48.4</v>
      </c>
      <c r="I24">
        <v>47.4</v>
      </c>
      <c r="J24">
        <v>47</v>
      </c>
      <c r="K24">
        <v>46.3</v>
      </c>
      <c r="L24">
        <v>47</v>
      </c>
      <c r="M24">
        <v>47.4</v>
      </c>
      <c r="N24">
        <v>46.7</v>
      </c>
      <c r="O24">
        <v>46.9</v>
      </c>
      <c r="P24">
        <v>46.3</v>
      </c>
    </row>
    <row r="25" spans="1:16" x14ac:dyDescent="0.25">
      <c r="A25" t="s">
        <v>38</v>
      </c>
      <c r="B25">
        <v>15409</v>
      </c>
      <c r="C25">
        <v>14478</v>
      </c>
      <c r="D25">
        <v>14819</v>
      </c>
      <c r="E25">
        <v>14992</v>
      </c>
      <c r="F25">
        <v>14791</v>
      </c>
      <c r="G25">
        <v>14781</v>
      </c>
      <c r="H25">
        <v>15084</v>
      </c>
      <c r="I25">
        <v>15109</v>
      </c>
      <c r="J25">
        <v>14555</v>
      </c>
      <c r="K25">
        <v>14010</v>
      </c>
      <c r="L25">
        <v>13835</v>
      </c>
      <c r="M25">
        <v>13763</v>
      </c>
      <c r="N25">
        <v>13892</v>
      </c>
      <c r="O25">
        <v>14628</v>
      </c>
      <c r="P25">
        <v>15139</v>
      </c>
    </row>
    <row r="26" spans="1:16" x14ac:dyDescent="0.25">
      <c r="A26" t="s">
        <v>17</v>
      </c>
      <c r="B26">
        <v>11591</v>
      </c>
      <c r="C26">
        <v>11777</v>
      </c>
      <c r="D26">
        <v>12647</v>
      </c>
      <c r="E26">
        <v>13015</v>
      </c>
      <c r="F26">
        <v>12557</v>
      </c>
      <c r="G26">
        <v>12137</v>
      </c>
      <c r="H26">
        <v>12814</v>
      </c>
      <c r="I26">
        <v>12721</v>
      </c>
      <c r="J26">
        <v>12436</v>
      </c>
      <c r="K26">
        <v>11933</v>
      </c>
      <c r="L26">
        <v>12313</v>
      </c>
      <c r="M26">
        <v>12587</v>
      </c>
      <c r="N26">
        <v>12023</v>
      </c>
      <c r="O26">
        <v>11214</v>
      </c>
      <c r="P26">
        <v>12460</v>
      </c>
    </row>
    <row r="27" spans="1:16" x14ac:dyDescent="0.25">
      <c r="A27" t="s">
        <v>39</v>
      </c>
      <c r="B27">
        <v>908</v>
      </c>
      <c r="C27">
        <v>909</v>
      </c>
      <c r="D27">
        <v>907</v>
      </c>
      <c r="E27">
        <v>909</v>
      </c>
      <c r="F27">
        <v>910</v>
      </c>
      <c r="G27">
        <v>910</v>
      </c>
      <c r="H27">
        <v>908</v>
      </c>
      <c r="I27">
        <v>910</v>
      </c>
      <c r="J27">
        <v>910</v>
      </c>
      <c r="K27">
        <v>911</v>
      </c>
      <c r="L27">
        <v>910</v>
      </c>
      <c r="M27">
        <v>911</v>
      </c>
      <c r="N27">
        <v>911</v>
      </c>
      <c r="O27">
        <v>910</v>
      </c>
      <c r="P27">
        <v>908</v>
      </c>
    </row>
    <row r="28" spans="1:16" x14ac:dyDescent="0.25">
      <c r="A28" t="s">
        <v>40</v>
      </c>
      <c r="B28">
        <v>3140</v>
      </c>
      <c r="C28">
        <v>3140</v>
      </c>
      <c r="D28">
        <v>3140</v>
      </c>
      <c r="E28">
        <v>3140</v>
      </c>
      <c r="F28">
        <v>3140</v>
      </c>
      <c r="G28">
        <v>3140</v>
      </c>
      <c r="H28">
        <v>3140</v>
      </c>
      <c r="I28">
        <v>3140</v>
      </c>
      <c r="J28">
        <v>3140</v>
      </c>
      <c r="K28">
        <v>3140</v>
      </c>
      <c r="L28">
        <v>3140</v>
      </c>
      <c r="M28">
        <v>3140</v>
      </c>
      <c r="N28">
        <v>3140</v>
      </c>
      <c r="O28">
        <v>3140</v>
      </c>
      <c r="P28">
        <v>3140</v>
      </c>
    </row>
    <row r="29" spans="1:16" x14ac:dyDescent="0.25">
      <c r="A29" t="s">
        <v>41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0.02</v>
      </c>
      <c r="N29">
        <v>0</v>
      </c>
      <c r="O29">
        <v>0</v>
      </c>
      <c r="P29">
        <v>0</v>
      </c>
    </row>
    <row r="30" spans="1:16" x14ac:dyDescent="0.25">
      <c r="A30" t="s">
        <v>42</v>
      </c>
      <c r="B30">
        <v>54.8</v>
      </c>
      <c r="C30">
        <v>59.4</v>
      </c>
      <c r="D30">
        <v>63.7</v>
      </c>
      <c r="E30">
        <v>58</v>
      </c>
      <c r="F30">
        <v>56.4</v>
      </c>
      <c r="G30">
        <v>62.2</v>
      </c>
      <c r="H30">
        <v>64.3</v>
      </c>
      <c r="I30">
        <v>57.6</v>
      </c>
      <c r="J30">
        <v>54.1</v>
      </c>
      <c r="K30">
        <v>56.9</v>
      </c>
      <c r="L30">
        <v>57.4</v>
      </c>
      <c r="M30">
        <v>52</v>
      </c>
      <c r="N30">
        <v>50.3</v>
      </c>
      <c r="O30">
        <v>58.7</v>
      </c>
      <c r="P30">
        <v>62.5</v>
      </c>
    </row>
    <row r="31" spans="1:16" x14ac:dyDescent="0.25">
      <c r="A31" t="s">
        <v>43</v>
      </c>
      <c r="B31">
        <v>3.2</v>
      </c>
      <c r="C31">
        <v>1.1000000000000001</v>
      </c>
      <c r="D31">
        <v>0.6</v>
      </c>
      <c r="E31">
        <v>-0.2</v>
      </c>
      <c r="F31">
        <v>0.3</v>
      </c>
      <c r="G31">
        <v>-0.2</v>
      </c>
      <c r="H31">
        <v>0.5</v>
      </c>
      <c r="I31">
        <v>1</v>
      </c>
      <c r="J31">
        <v>1</v>
      </c>
      <c r="K31">
        <v>1.5</v>
      </c>
      <c r="L31">
        <v>1.2</v>
      </c>
      <c r="M31">
        <v>0.5</v>
      </c>
      <c r="N31">
        <v>0.8</v>
      </c>
      <c r="O31">
        <v>1.1000000000000001</v>
      </c>
      <c r="P31">
        <v>1.6</v>
      </c>
    </row>
    <row r="32" spans="1:16" x14ac:dyDescent="0.25">
      <c r="A32" t="s">
        <v>44</v>
      </c>
      <c r="B32">
        <v>-999.9</v>
      </c>
      <c r="C32">
        <v>-999.9</v>
      </c>
      <c r="D32">
        <v>-999.9</v>
      </c>
      <c r="E32">
        <v>-999.9</v>
      </c>
      <c r="F32">
        <v>-999.9</v>
      </c>
      <c r="G32">
        <v>-999.9</v>
      </c>
      <c r="H32">
        <v>-999.9</v>
      </c>
      <c r="I32">
        <v>-999.9</v>
      </c>
      <c r="J32">
        <v>-999.9</v>
      </c>
      <c r="K32">
        <v>-999.9</v>
      </c>
      <c r="L32">
        <v>-999.9</v>
      </c>
      <c r="M32">
        <v>-999.9</v>
      </c>
      <c r="N32">
        <v>-999.9</v>
      </c>
      <c r="O32">
        <v>-999.9</v>
      </c>
      <c r="P32">
        <v>-999.9</v>
      </c>
    </row>
    <row r="33" spans="1:16" x14ac:dyDescent="0.25">
      <c r="A33" t="s">
        <v>45</v>
      </c>
      <c r="B33">
        <v>226</v>
      </c>
      <c r="C33">
        <v>223</v>
      </c>
      <c r="D33">
        <v>235</v>
      </c>
      <c r="E33">
        <v>219</v>
      </c>
      <c r="F33">
        <v>224</v>
      </c>
      <c r="G33">
        <v>232</v>
      </c>
      <c r="H33">
        <v>252</v>
      </c>
      <c r="I33">
        <v>241</v>
      </c>
      <c r="J33">
        <v>250</v>
      </c>
      <c r="K33">
        <v>244</v>
      </c>
      <c r="L33">
        <v>289</v>
      </c>
      <c r="M33">
        <v>315</v>
      </c>
      <c r="N33">
        <v>315</v>
      </c>
      <c r="O33">
        <v>294</v>
      </c>
      <c r="P33">
        <v>291</v>
      </c>
    </row>
    <row r="34" spans="1:16" x14ac:dyDescent="0.25">
      <c r="A34" t="s">
        <v>46</v>
      </c>
      <c r="B34">
        <v>8</v>
      </c>
      <c r="C34">
        <v>9</v>
      </c>
      <c r="D34">
        <v>8</v>
      </c>
      <c r="E34">
        <v>8</v>
      </c>
      <c r="F34">
        <v>8</v>
      </c>
      <c r="G34">
        <v>8</v>
      </c>
      <c r="H34">
        <v>8</v>
      </c>
      <c r="I34">
        <v>7</v>
      </c>
      <c r="J34">
        <v>5</v>
      </c>
      <c r="K34">
        <v>6</v>
      </c>
      <c r="L34">
        <v>5</v>
      </c>
      <c r="M34">
        <v>7</v>
      </c>
      <c r="N34">
        <v>8</v>
      </c>
      <c r="O34">
        <v>7</v>
      </c>
      <c r="P34">
        <v>5</v>
      </c>
    </row>
    <row r="35" spans="1:16" x14ac:dyDescent="0.25">
      <c r="A35" t="s">
        <v>47</v>
      </c>
      <c r="B35">
        <v>67</v>
      </c>
      <c r="C35">
        <v>81</v>
      </c>
      <c r="D35">
        <v>89</v>
      </c>
      <c r="E35">
        <v>79</v>
      </c>
      <c r="F35">
        <v>73</v>
      </c>
      <c r="G35">
        <v>85</v>
      </c>
      <c r="H35">
        <v>89</v>
      </c>
      <c r="I35">
        <v>78</v>
      </c>
      <c r="J35">
        <v>72</v>
      </c>
      <c r="K35">
        <v>80</v>
      </c>
      <c r="L35">
        <v>82</v>
      </c>
      <c r="M35">
        <v>71</v>
      </c>
      <c r="N35">
        <v>62</v>
      </c>
      <c r="O35">
        <v>81</v>
      </c>
      <c r="P35">
        <v>86</v>
      </c>
    </row>
    <row r="36" spans="1:16" x14ac:dyDescent="0.25">
      <c r="A36" t="s">
        <v>48</v>
      </c>
      <c r="B36">
        <v>67</v>
      </c>
      <c r="C36">
        <v>84</v>
      </c>
      <c r="D36">
        <v>93</v>
      </c>
      <c r="E36">
        <v>79</v>
      </c>
      <c r="F36">
        <v>73</v>
      </c>
      <c r="G36">
        <v>89</v>
      </c>
      <c r="H36">
        <v>94</v>
      </c>
      <c r="I36">
        <v>78</v>
      </c>
      <c r="J36">
        <v>72</v>
      </c>
      <c r="K36">
        <v>82</v>
      </c>
      <c r="L36">
        <v>85</v>
      </c>
      <c r="M36">
        <v>71</v>
      </c>
      <c r="N36">
        <v>62</v>
      </c>
      <c r="O36">
        <v>84</v>
      </c>
      <c r="P36">
        <v>90</v>
      </c>
    </row>
    <row r="38" spans="1:16" x14ac:dyDescent="0.25">
      <c r="A38" t="s">
        <v>49</v>
      </c>
      <c r="B38">
        <v>116</v>
      </c>
      <c r="C38">
        <v>114</v>
      </c>
      <c r="D38">
        <v>78</v>
      </c>
      <c r="E38">
        <v>107</v>
      </c>
      <c r="F38">
        <v>120</v>
      </c>
      <c r="G38">
        <v>114</v>
      </c>
      <c r="H38">
        <v>86</v>
      </c>
      <c r="I38">
        <v>118</v>
      </c>
      <c r="J38">
        <v>128</v>
      </c>
      <c r="K38">
        <v>131</v>
      </c>
      <c r="L38">
        <v>117</v>
      </c>
      <c r="M38">
        <v>140</v>
      </c>
      <c r="N38">
        <v>143</v>
      </c>
      <c r="O38">
        <v>124</v>
      </c>
      <c r="P38">
        <v>93</v>
      </c>
    </row>
    <row r="40" spans="1:16" x14ac:dyDescent="0.25">
      <c r="A40" t="s">
        <v>50</v>
      </c>
      <c r="B40">
        <v>564</v>
      </c>
      <c r="C40">
        <v>570</v>
      </c>
      <c r="D40">
        <v>542</v>
      </c>
      <c r="E40">
        <v>567</v>
      </c>
      <c r="F40">
        <v>571</v>
      </c>
      <c r="G40">
        <v>573</v>
      </c>
      <c r="H40">
        <v>551</v>
      </c>
      <c r="I40">
        <v>578</v>
      </c>
      <c r="J40">
        <v>577</v>
      </c>
      <c r="K40">
        <v>585</v>
      </c>
      <c r="L40">
        <v>577</v>
      </c>
      <c r="M40">
        <v>592</v>
      </c>
      <c r="N40">
        <v>588</v>
      </c>
      <c r="O40">
        <v>577</v>
      </c>
      <c r="P40">
        <v>553</v>
      </c>
    </row>
    <row r="42" spans="1:16" x14ac:dyDescent="0.25">
      <c r="A42" t="s">
        <v>51</v>
      </c>
      <c r="B42">
        <v>1037</v>
      </c>
      <c r="C42">
        <v>1050</v>
      </c>
      <c r="D42">
        <v>1030</v>
      </c>
      <c r="E42">
        <v>1048</v>
      </c>
      <c r="F42">
        <v>1049</v>
      </c>
      <c r="G42">
        <v>1056</v>
      </c>
      <c r="H42">
        <v>1039</v>
      </c>
      <c r="I42">
        <v>1058</v>
      </c>
      <c r="J42">
        <v>1053</v>
      </c>
      <c r="K42">
        <v>1064</v>
      </c>
      <c r="L42">
        <v>1058</v>
      </c>
      <c r="M42">
        <v>1066</v>
      </c>
      <c r="N42">
        <v>1059</v>
      </c>
      <c r="O42">
        <v>1057</v>
      </c>
      <c r="P42">
        <v>1038</v>
      </c>
    </row>
    <row r="43" spans="1:16" x14ac:dyDescent="0.25">
      <c r="A43" t="s">
        <v>160</v>
      </c>
      <c r="B43">
        <v>23.5</v>
      </c>
      <c r="C43">
        <v>27.5</v>
      </c>
      <c r="D43">
        <v>32.200000000000003</v>
      </c>
      <c r="E43">
        <v>28.2</v>
      </c>
      <c r="F43">
        <v>26.1</v>
      </c>
      <c r="G43">
        <v>29.5</v>
      </c>
      <c r="H43">
        <v>32.4</v>
      </c>
      <c r="I43">
        <v>27.3</v>
      </c>
      <c r="J43">
        <v>25.1</v>
      </c>
      <c r="K43">
        <v>26.2</v>
      </c>
      <c r="L43">
        <v>27.6</v>
      </c>
      <c r="M43">
        <v>23.4</v>
      </c>
      <c r="N43">
        <v>21.8</v>
      </c>
      <c r="O43">
        <v>26.7</v>
      </c>
      <c r="P43">
        <v>30.5</v>
      </c>
    </row>
    <row r="44" spans="1:16" x14ac:dyDescent="0.25">
      <c r="A44" t="s">
        <v>161</v>
      </c>
      <c r="B44">
        <v>5.2</v>
      </c>
      <c r="C44">
        <v>5.0999999999999996</v>
      </c>
      <c r="D44">
        <v>2.1</v>
      </c>
      <c r="E44">
        <v>6</v>
      </c>
      <c r="F44">
        <v>6.8</v>
      </c>
      <c r="G44">
        <v>5.6</v>
      </c>
      <c r="H44">
        <v>2.4</v>
      </c>
      <c r="I44">
        <v>6.6</v>
      </c>
      <c r="J44">
        <v>8.3000000000000007</v>
      </c>
      <c r="K44">
        <v>7</v>
      </c>
      <c r="L44">
        <v>5.9</v>
      </c>
      <c r="M44">
        <v>10.199999999999999</v>
      </c>
      <c r="N44">
        <v>10.6</v>
      </c>
      <c r="O44">
        <v>8.1999999999999993</v>
      </c>
      <c r="P44">
        <v>4.5999999999999996</v>
      </c>
    </row>
    <row r="45" spans="1:16" x14ac:dyDescent="0.25">
      <c r="A45" t="s">
        <v>162</v>
      </c>
      <c r="B45">
        <v>29</v>
      </c>
      <c r="C45">
        <v>23</v>
      </c>
      <c r="D45">
        <v>14</v>
      </c>
      <c r="E45">
        <v>23</v>
      </c>
      <c r="F45">
        <v>28</v>
      </c>
      <c r="G45">
        <v>21</v>
      </c>
      <c r="H45">
        <v>14</v>
      </c>
      <c r="I45">
        <v>25</v>
      </c>
      <c r="J45">
        <v>33</v>
      </c>
      <c r="K45">
        <v>28</v>
      </c>
      <c r="L45">
        <v>24</v>
      </c>
      <c r="M45">
        <v>42</v>
      </c>
      <c r="N45">
        <v>48</v>
      </c>
      <c r="O45">
        <v>30</v>
      </c>
      <c r="P45">
        <v>18</v>
      </c>
    </row>
    <row r="46" spans="1:16" x14ac:dyDescent="0.25">
      <c r="A46" t="s">
        <v>163</v>
      </c>
      <c r="B46">
        <v>167</v>
      </c>
      <c r="C46">
        <v>222</v>
      </c>
      <c r="D46">
        <v>237</v>
      </c>
      <c r="E46">
        <v>236</v>
      </c>
      <c r="F46">
        <v>188</v>
      </c>
      <c r="G46">
        <v>236</v>
      </c>
      <c r="H46">
        <v>243</v>
      </c>
      <c r="I46">
        <v>255</v>
      </c>
      <c r="J46">
        <v>201</v>
      </c>
      <c r="K46">
        <v>206</v>
      </c>
      <c r="L46">
        <v>184</v>
      </c>
      <c r="M46">
        <v>95</v>
      </c>
      <c r="N46">
        <v>98</v>
      </c>
      <c r="O46">
        <v>191</v>
      </c>
      <c r="P46">
        <v>245</v>
      </c>
    </row>
    <row r="47" spans="1:16" x14ac:dyDescent="0.25">
      <c r="A47" t="s">
        <v>164</v>
      </c>
      <c r="B47">
        <v>1</v>
      </c>
      <c r="C47">
        <v>2</v>
      </c>
      <c r="D47">
        <v>6</v>
      </c>
      <c r="E47">
        <v>4</v>
      </c>
      <c r="F47">
        <v>1</v>
      </c>
      <c r="G47">
        <v>4</v>
      </c>
      <c r="H47">
        <v>9</v>
      </c>
      <c r="I47">
        <v>5</v>
      </c>
      <c r="J47">
        <v>3</v>
      </c>
      <c r="K47">
        <v>7</v>
      </c>
      <c r="L47">
        <v>4</v>
      </c>
      <c r="M47">
        <v>5</v>
      </c>
      <c r="N47">
        <v>4</v>
      </c>
      <c r="O47">
        <v>3</v>
      </c>
      <c r="P47">
        <v>5</v>
      </c>
    </row>
    <row r="49" spans="1:16" x14ac:dyDescent="0.25">
      <c r="A49" t="s">
        <v>52</v>
      </c>
      <c r="B49">
        <v>1533</v>
      </c>
      <c r="C49">
        <v>1551</v>
      </c>
      <c r="D49">
        <v>1538</v>
      </c>
      <c r="E49">
        <v>1551</v>
      </c>
      <c r="F49">
        <v>1549</v>
      </c>
      <c r="G49">
        <v>1561</v>
      </c>
      <c r="H49">
        <v>1547</v>
      </c>
      <c r="I49">
        <v>1559</v>
      </c>
      <c r="J49">
        <v>1552</v>
      </c>
      <c r="K49">
        <v>1563</v>
      </c>
      <c r="L49">
        <v>1559</v>
      </c>
      <c r="M49">
        <v>1561</v>
      </c>
      <c r="N49">
        <v>1552</v>
      </c>
      <c r="O49">
        <v>1557</v>
      </c>
      <c r="P49">
        <v>1544</v>
      </c>
    </row>
    <row r="50" spans="1:16" x14ac:dyDescent="0.25">
      <c r="A50" t="s">
        <v>53</v>
      </c>
      <c r="B50">
        <v>21</v>
      </c>
      <c r="C50">
        <v>24</v>
      </c>
      <c r="D50">
        <v>28</v>
      </c>
      <c r="E50">
        <v>24.9</v>
      </c>
      <c r="F50">
        <v>23.3</v>
      </c>
      <c r="G50">
        <v>25.6</v>
      </c>
      <c r="H50">
        <v>28</v>
      </c>
      <c r="I50">
        <v>24.1</v>
      </c>
      <c r="J50">
        <v>22.5</v>
      </c>
      <c r="K50">
        <v>22.6</v>
      </c>
      <c r="L50">
        <v>23.4</v>
      </c>
      <c r="M50">
        <v>20</v>
      </c>
      <c r="N50">
        <v>19.100000000000001</v>
      </c>
      <c r="O50">
        <v>22.8</v>
      </c>
      <c r="P50">
        <v>26.4</v>
      </c>
    </row>
    <row r="51" spans="1:16" x14ac:dyDescent="0.25">
      <c r="A51" t="s">
        <v>54</v>
      </c>
      <c r="B51">
        <v>2.1</v>
      </c>
      <c r="C51">
        <v>2.1</v>
      </c>
      <c r="D51">
        <v>-0.7</v>
      </c>
      <c r="E51">
        <v>2.5</v>
      </c>
      <c r="F51">
        <v>3.4</v>
      </c>
      <c r="G51">
        <v>3</v>
      </c>
      <c r="H51">
        <v>0.7</v>
      </c>
      <c r="I51">
        <v>3.2</v>
      </c>
      <c r="J51">
        <v>5</v>
      </c>
      <c r="K51">
        <v>4</v>
      </c>
      <c r="L51">
        <v>4</v>
      </c>
      <c r="M51">
        <v>7.3</v>
      </c>
      <c r="N51">
        <v>7.5</v>
      </c>
      <c r="O51">
        <v>5.0999999999999996</v>
      </c>
      <c r="P51">
        <v>1.6</v>
      </c>
    </row>
    <row r="52" spans="1:16" x14ac:dyDescent="0.25">
      <c r="A52" t="s">
        <v>55</v>
      </c>
      <c r="B52">
        <v>28</v>
      </c>
      <c r="C52">
        <v>23</v>
      </c>
      <c r="D52">
        <v>14</v>
      </c>
      <c r="E52">
        <v>22</v>
      </c>
      <c r="F52">
        <v>26</v>
      </c>
      <c r="G52">
        <v>22</v>
      </c>
      <c r="H52">
        <v>16</v>
      </c>
      <c r="I52">
        <v>25</v>
      </c>
      <c r="J52">
        <v>31</v>
      </c>
      <c r="K52">
        <v>29</v>
      </c>
      <c r="L52">
        <v>27</v>
      </c>
      <c r="M52">
        <v>42</v>
      </c>
      <c r="N52">
        <v>46</v>
      </c>
      <c r="O52">
        <v>30</v>
      </c>
      <c r="P52">
        <v>19</v>
      </c>
    </row>
    <row r="53" spans="1:16" x14ac:dyDescent="0.25">
      <c r="A53" t="s">
        <v>56</v>
      </c>
      <c r="B53">
        <v>246</v>
      </c>
      <c r="C53">
        <v>195</v>
      </c>
      <c r="D53">
        <v>238</v>
      </c>
      <c r="E53">
        <v>278</v>
      </c>
      <c r="F53">
        <v>252</v>
      </c>
      <c r="G53">
        <v>234</v>
      </c>
      <c r="H53">
        <v>248</v>
      </c>
      <c r="I53">
        <v>275</v>
      </c>
      <c r="J53">
        <v>247</v>
      </c>
      <c r="K53">
        <v>201</v>
      </c>
      <c r="L53">
        <v>187</v>
      </c>
      <c r="M53">
        <v>97</v>
      </c>
      <c r="N53">
        <v>118</v>
      </c>
      <c r="O53">
        <v>189</v>
      </c>
      <c r="P53">
        <v>251</v>
      </c>
    </row>
    <row r="54" spans="1:16" x14ac:dyDescent="0.25">
      <c r="A54" t="s">
        <v>57</v>
      </c>
      <c r="B54">
        <v>2</v>
      </c>
      <c r="C54">
        <v>3</v>
      </c>
      <c r="D54">
        <v>7</v>
      </c>
      <c r="E54">
        <v>5</v>
      </c>
      <c r="F54">
        <v>2</v>
      </c>
      <c r="G54">
        <v>4</v>
      </c>
      <c r="H54">
        <v>10</v>
      </c>
      <c r="I54">
        <v>8</v>
      </c>
      <c r="J54">
        <v>3</v>
      </c>
      <c r="K54">
        <v>9</v>
      </c>
      <c r="L54">
        <v>4</v>
      </c>
      <c r="M54">
        <v>6</v>
      </c>
      <c r="N54">
        <v>5</v>
      </c>
      <c r="O54">
        <v>4</v>
      </c>
      <c r="P54">
        <v>6</v>
      </c>
    </row>
    <row r="56" spans="1:16" x14ac:dyDescent="0.25">
      <c r="A56" t="s">
        <v>58</v>
      </c>
      <c r="B56">
        <v>2055</v>
      </c>
      <c r="C56">
        <v>2077</v>
      </c>
      <c r="D56">
        <v>2069</v>
      </c>
      <c r="E56">
        <v>2078</v>
      </c>
      <c r="F56">
        <v>2074</v>
      </c>
      <c r="G56">
        <v>2088</v>
      </c>
      <c r="H56">
        <v>2078</v>
      </c>
      <c r="I56">
        <v>2085</v>
      </c>
      <c r="J56">
        <v>2076</v>
      </c>
      <c r="K56">
        <v>2086</v>
      </c>
      <c r="L56">
        <v>2083</v>
      </c>
      <c r="M56">
        <v>2080</v>
      </c>
      <c r="N56">
        <v>2071</v>
      </c>
      <c r="O56">
        <v>2080</v>
      </c>
      <c r="P56">
        <v>2072</v>
      </c>
    </row>
    <row r="57" spans="1:16" x14ac:dyDescent="0.25">
      <c r="A57" t="s">
        <v>59</v>
      </c>
      <c r="B57">
        <v>20.2</v>
      </c>
      <c r="C57">
        <v>21</v>
      </c>
      <c r="D57">
        <v>23.1</v>
      </c>
      <c r="E57">
        <v>21.3</v>
      </c>
      <c r="F57">
        <v>20.7</v>
      </c>
      <c r="G57">
        <v>21</v>
      </c>
      <c r="H57">
        <v>22.7</v>
      </c>
      <c r="I57">
        <v>20.5</v>
      </c>
      <c r="J57">
        <v>19.8</v>
      </c>
      <c r="K57">
        <v>19.100000000000001</v>
      </c>
      <c r="L57">
        <v>18.5</v>
      </c>
      <c r="M57">
        <v>17.2</v>
      </c>
      <c r="N57">
        <v>17.2</v>
      </c>
      <c r="O57">
        <v>18.100000000000001</v>
      </c>
      <c r="P57">
        <v>21.1</v>
      </c>
    </row>
    <row r="58" spans="1:16" x14ac:dyDescent="0.25">
      <c r="A58" t="s">
        <v>60</v>
      </c>
      <c r="B58">
        <v>-2.8</v>
      </c>
      <c r="C58">
        <v>-3.7</v>
      </c>
      <c r="D58">
        <v>-1.9</v>
      </c>
      <c r="E58">
        <v>-0.2</v>
      </c>
      <c r="F58">
        <v>0.4</v>
      </c>
      <c r="G58">
        <v>0.1</v>
      </c>
      <c r="H58">
        <v>-1.3</v>
      </c>
      <c r="I58">
        <v>0.6</v>
      </c>
      <c r="J58">
        <v>1</v>
      </c>
      <c r="K58">
        <v>-0.7</v>
      </c>
      <c r="L58">
        <v>1.5</v>
      </c>
      <c r="M58">
        <v>3.3</v>
      </c>
      <c r="N58">
        <v>2.9</v>
      </c>
      <c r="O58">
        <v>2.2000000000000002</v>
      </c>
      <c r="P58">
        <v>0.4</v>
      </c>
    </row>
    <row r="59" spans="1:16" x14ac:dyDescent="0.25">
      <c r="A59" t="s">
        <v>61</v>
      </c>
      <c r="B59">
        <v>20</v>
      </c>
      <c r="C59">
        <v>18</v>
      </c>
      <c r="D59">
        <v>18</v>
      </c>
      <c r="E59">
        <v>23</v>
      </c>
      <c r="F59">
        <v>25</v>
      </c>
      <c r="G59">
        <v>24</v>
      </c>
      <c r="H59">
        <v>19</v>
      </c>
      <c r="I59">
        <v>26</v>
      </c>
      <c r="J59">
        <v>28</v>
      </c>
      <c r="K59">
        <v>25</v>
      </c>
      <c r="L59">
        <v>31</v>
      </c>
      <c r="M59">
        <v>38</v>
      </c>
      <c r="N59">
        <v>38</v>
      </c>
      <c r="O59">
        <v>34</v>
      </c>
      <c r="P59">
        <v>24</v>
      </c>
    </row>
    <row r="60" spans="1:16" x14ac:dyDescent="0.25">
      <c r="A60" t="s">
        <v>62</v>
      </c>
      <c r="B60">
        <v>270</v>
      </c>
      <c r="C60">
        <v>212</v>
      </c>
      <c r="D60">
        <v>233</v>
      </c>
      <c r="E60">
        <v>298</v>
      </c>
      <c r="F60">
        <v>266</v>
      </c>
      <c r="G60">
        <v>231</v>
      </c>
      <c r="H60">
        <v>252</v>
      </c>
      <c r="I60">
        <v>284</v>
      </c>
      <c r="J60">
        <v>273</v>
      </c>
      <c r="K60">
        <v>217</v>
      </c>
      <c r="L60">
        <v>216</v>
      </c>
      <c r="M60">
        <v>99</v>
      </c>
      <c r="N60">
        <v>179</v>
      </c>
      <c r="O60">
        <v>206</v>
      </c>
      <c r="P60">
        <v>264</v>
      </c>
    </row>
    <row r="61" spans="1:16" x14ac:dyDescent="0.25">
      <c r="A61" t="s">
        <v>63</v>
      </c>
      <c r="B61">
        <v>3</v>
      </c>
      <c r="C61">
        <v>6</v>
      </c>
      <c r="D61">
        <v>8</v>
      </c>
      <c r="E61">
        <v>6</v>
      </c>
      <c r="F61">
        <v>4</v>
      </c>
      <c r="G61">
        <v>6</v>
      </c>
      <c r="H61">
        <v>11</v>
      </c>
      <c r="I61">
        <v>11</v>
      </c>
      <c r="J61">
        <v>6</v>
      </c>
      <c r="K61">
        <v>10</v>
      </c>
      <c r="L61">
        <v>4</v>
      </c>
      <c r="M61">
        <v>4</v>
      </c>
      <c r="N61">
        <v>4</v>
      </c>
      <c r="O61">
        <v>6</v>
      </c>
      <c r="P61">
        <v>6</v>
      </c>
    </row>
    <row r="63" spans="1:16" x14ac:dyDescent="0.25">
      <c r="A63" t="s">
        <v>64</v>
      </c>
      <c r="B63">
        <v>2607</v>
      </c>
      <c r="C63">
        <v>2629</v>
      </c>
      <c r="D63">
        <v>2624</v>
      </c>
      <c r="E63">
        <v>2632</v>
      </c>
      <c r="F63">
        <v>2627</v>
      </c>
      <c r="G63">
        <v>2641</v>
      </c>
      <c r="H63">
        <v>2633</v>
      </c>
      <c r="I63">
        <v>2637</v>
      </c>
      <c r="J63">
        <v>2627</v>
      </c>
      <c r="K63">
        <v>2635</v>
      </c>
      <c r="L63">
        <v>2631</v>
      </c>
      <c r="M63">
        <v>2627</v>
      </c>
      <c r="N63">
        <v>2618</v>
      </c>
      <c r="O63">
        <v>2627</v>
      </c>
      <c r="P63">
        <v>2624</v>
      </c>
    </row>
    <row r="64" spans="1:16" x14ac:dyDescent="0.25">
      <c r="A64" t="s">
        <v>65</v>
      </c>
      <c r="B64">
        <v>16.7</v>
      </c>
      <c r="C64">
        <v>16.8</v>
      </c>
      <c r="D64">
        <v>17.5</v>
      </c>
      <c r="E64">
        <v>16.899999999999999</v>
      </c>
      <c r="F64">
        <v>16.5</v>
      </c>
      <c r="G64">
        <v>16.2</v>
      </c>
      <c r="H64">
        <v>17.399999999999999</v>
      </c>
      <c r="I64">
        <v>16.2</v>
      </c>
      <c r="J64">
        <v>15.8</v>
      </c>
      <c r="K64">
        <v>14.4</v>
      </c>
      <c r="L64">
        <v>13.7</v>
      </c>
      <c r="M64">
        <v>13.1</v>
      </c>
      <c r="N64">
        <v>13.4</v>
      </c>
      <c r="O64">
        <v>13.7</v>
      </c>
      <c r="P64">
        <v>15.8</v>
      </c>
    </row>
    <row r="65" spans="1:16" x14ac:dyDescent="0.25">
      <c r="A65" t="s">
        <v>66</v>
      </c>
      <c r="B65">
        <v>-7.1</v>
      </c>
      <c r="C65">
        <v>-7.8</v>
      </c>
      <c r="D65">
        <v>-2.7</v>
      </c>
      <c r="E65">
        <v>-2.5</v>
      </c>
      <c r="F65">
        <v>-3.1</v>
      </c>
      <c r="G65">
        <v>-3.5</v>
      </c>
      <c r="H65">
        <v>-3.2</v>
      </c>
      <c r="I65">
        <v>-2</v>
      </c>
      <c r="J65">
        <v>-2.1</v>
      </c>
      <c r="K65">
        <v>-4</v>
      </c>
      <c r="L65">
        <v>-0.5</v>
      </c>
      <c r="M65">
        <v>0.4</v>
      </c>
      <c r="N65">
        <v>-1.6</v>
      </c>
      <c r="O65">
        <v>-2.2000000000000002</v>
      </c>
      <c r="P65">
        <v>-1.5</v>
      </c>
    </row>
    <row r="66" spans="1:16" x14ac:dyDescent="0.25">
      <c r="A66" t="s">
        <v>67</v>
      </c>
      <c r="B66">
        <v>18</v>
      </c>
      <c r="C66">
        <v>17</v>
      </c>
      <c r="D66">
        <v>24</v>
      </c>
      <c r="E66">
        <v>26</v>
      </c>
      <c r="F66">
        <v>25</v>
      </c>
      <c r="G66">
        <v>25</v>
      </c>
      <c r="H66">
        <v>24</v>
      </c>
      <c r="I66">
        <v>28</v>
      </c>
      <c r="J66">
        <v>29</v>
      </c>
      <c r="K66">
        <v>27</v>
      </c>
      <c r="L66">
        <v>37</v>
      </c>
      <c r="M66">
        <v>41</v>
      </c>
      <c r="N66">
        <v>35</v>
      </c>
      <c r="O66">
        <v>33</v>
      </c>
      <c r="P66">
        <v>30</v>
      </c>
    </row>
    <row r="67" spans="1:16" x14ac:dyDescent="0.25">
      <c r="A67" t="s">
        <v>68</v>
      </c>
      <c r="B67">
        <v>222</v>
      </c>
      <c r="C67">
        <v>225</v>
      </c>
      <c r="D67">
        <v>223</v>
      </c>
      <c r="E67">
        <v>297</v>
      </c>
      <c r="F67">
        <v>223</v>
      </c>
      <c r="G67">
        <v>216</v>
      </c>
      <c r="H67">
        <v>254</v>
      </c>
      <c r="I67">
        <v>289</v>
      </c>
      <c r="J67">
        <v>267</v>
      </c>
      <c r="K67">
        <v>237</v>
      </c>
      <c r="L67">
        <v>266</v>
      </c>
      <c r="M67">
        <v>240</v>
      </c>
      <c r="N67">
        <v>250</v>
      </c>
      <c r="O67">
        <v>228</v>
      </c>
      <c r="P67">
        <v>264</v>
      </c>
    </row>
    <row r="68" spans="1:16" x14ac:dyDescent="0.25">
      <c r="A68" t="s">
        <v>69</v>
      </c>
      <c r="B68">
        <v>1</v>
      </c>
      <c r="C68">
        <v>9</v>
      </c>
      <c r="D68">
        <v>7</v>
      </c>
      <c r="E68">
        <v>3</v>
      </c>
      <c r="F68">
        <v>2</v>
      </c>
      <c r="G68">
        <v>6</v>
      </c>
      <c r="H68">
        <v>10</v>
      </c>
      <c r="I68">
        <v>9</v>
      </c>
      <c r="J68">
        <v>6</v>
      </c>
      <c r="K68">
        <v>10</v>
      </c>
      <c r="L68">
        <v>5</v>
      </c>
      <c r="M68">
        <v>4</v>
      </c>
      <c r="N68">
        <v>9</v>
      </c>
      <c r="O68">
        <v>9</v>
      </c>
      <c r="P68">
        <v>5</v>
      </c>
    </row>
    <row r="70" spans="1:16" x14ac:dyDescent="0.25">
      <c r="A70" t="s">
        <v>70</v>
      </c>
      <c r="B70">
        <v>3189</v>
      </c>
      <c r="C70">
        <v>3211</v>
      </c>
      <c r="D70">
        <v>3207</v>
      </c>
      <c r="E70">
        <v>3213</v>
      </c>
      <c r="F70">
        <v>3207</v>
      </c>
      <c r="G70">
        <v>3221</v>
      </c>
      <c r="H70">
        <v>3216</v>
      </c>
      <c r="I70">
        <v>3217</v>
      </c>
      <c r="J70">
        <v>3206</v>
      </c>
      <c r="K70">
        <v>3211</v>
      </c>
      <c r="L70">
        <v>3206</v>
      </c>
      <c r="M70">
        <v>3202</v>
      </c>
      <c r="N70">
        <v>3193</v>
      </c>
      <c r="O70">
        <v>3202</v>
      </c>
      <c r="P70">
        <v>3204</v>
      </c>
    </row>
    <row r="71" spans="1:16" x14ac:dyDescent="0.25">
      <c r="A71" t="s">
        <v>71</v>
      </c>
      <c r="B71">
        <v>12.5</v>
      </c>
      <c r="C71">
        <v>11.5</v>
      </c>
      <c r="D71">
        <v>12.3</v>
      </c>
      <c r="E71">
        <v>11.8</v>
      </c>
      <c r="F71">
        <v>11.5</v>
      </c>
      <c r="G71">
        <v>11.1</v>
      </c>
      <c r="H71">
        <v>12.1</v>
      </c>
      <c r="I71">
        <v>11.4</v>
      </c>
      <c r="J71">
        <v>10.8</v>
      </c>
      <c r="K71">
        <v>9.4</v>
      </c>
      <c r="L71">
        <v>8.6</v>
      </c>
      <c r="M71">
        <v>8.5</v>
      </c>
      <c r="N71">
        <v>8.6</v>
      </c>
      <c r="O71">
        <v>8.3000000000000007</v>
      </c>
      <c r="P71">
        <v>10.6</v>
      </c>
    </row>
    <row r="72" spans="1:16" x14ac:dyDescent="0.25">
      <c r="A72" t="s">
        <v>72</v>
      </c>
      <c r="B72">
        <v>-10.7</v>
      </c>
      <c r="C72">
        <v>-9.6</v>
      </c>
      <c r="D72">
        <v>-4.7</v>
      </c>
      <c r="E72">
        <v>-4.0999999999999996</v>
      </c>
      <c r="F72">
        <v>-4.5999999999999996</v>
      </c>
      <c r="G72">
        <v>-6.5</v>
      </c>
      <c r="H72">
        <v>-4.4000000000000004</v>
      </c>
      <c r="I72">
        <v>-3.7</v>
      </c>
      <c r="J72">
        <v>-3.7</v>
      </c>
      <c r="K72">
        <v>-5.6</v>
      </c>
      <c r="L72">
        <v>-2.2999999999999998</v>
      </c>
      <c r="M72">
        <v>-1.4</v>
      </c>
      <c r="N72">
        <v>-2.8</v>
      </c>
      <c r="O72">
        <v>-6</v>
      </c>
      <c r="P72">
        <v>-2.7</v>
      </c>
    </row>
    <row r="73" spans="1:16" x14ac:dyDescent="0.25">
      <c r="A73" t="s">
        <v>73</v>
      </c>
      <c r="B73">
        <v>18</v>
      </c>
      <c r="C73">
        <v>22</v>
      </c>
      <c r="D73">
        <v>30</v>
      </c>
      <c r="E73">
        <v>32</v>
      </c>
      <c r="F73">
        <v>32</v>
      </c>
      <c r="G73">
        <v>28</v>
      </c>
      <c r="H73">
        <v>31</v>
      </c>
      <c r="I73">
        <v>34</v>
      </c>
      <c r="J73">
        <v>35</v>
      </c>
      <c r="K73">
        <v>34</v>
      </c>
      <c r="L73">
        <v>46</v>
      </c>
      <c r="M73">
        <v>49</v>
      </c>
      <c r="N73">
        <v>44</v>
      </c>
      <c r="O73">
        <v>35</v>
      </c>
      <c r="P73">
        <v>39</v>
      </c>
    </row>
    <row r="74" spans="1:16" x14ac:dyDescent="0.25">
      <c r="A74" t="s">
        <v>74</v>
      </c>
      <c r="B74">
        <v>183</v>
      </c>
      <c r="C74">
        <v>212</v>
      </c>
      <c r="D74">
        <v>205</v>
      </c>
      <c r="E74">
        <v>190</v>
      </c>
      <c r="F74">
        <v>179</v>
      </c>
      <c r="G74">
        <v>195</v>
      </c>
      <c r="H74">
        <v>247</v>
      </c>
      <c r="I74">
        <v>274</v>
      </c>
      <c r="J74">
        <v>249</v>
      </c>
      <c r="K74">
        <v>253</v>
      </c>
      <c r="L74">
        <v>283</v>
      </c>
      <c r="M74">
        <v>264</v>
      </c>
      <c r="N74">
        <v>263</v>
      </c>
      <c r="O74">
        <v>238</v>
      </c>
      <c r="P74">
        <v>248</v>
      </c>
    </row>
    <row r="75" spans="1:16" x14ac:dyDescent="0.25">
      <c r="A75" t="s">
        <v>75</v>
      </c>
      <c r="B75">
        <v>4</v>
      </c>
      <c r="C75">
        <v>9</v>
      </c>
      <c r="D75">
        <v>7</v>
      </c>
      <c r="E75">
        <v>2</v>
      </c>
      <c r="F75">
        <v>3</v>
      </c>
      <c r="G75">
        <v>7</v>
      </c>
      <c r="H75">
        <v>8</v>
      </c>
      <c r="I75">
        <v>5</v>
      </c>
      <c r="J75">
        <v>7</v>
      </c>
      <c r="K75">
        <v>10</v>
      </c>
      <c r="L75">
        <v>8</v>
      </c>
      <c r="M75">
        <v>9</v>
      </c>
      <c r="N75">
        <v>12</v>
      </c>
      <c r="O75">
        <v>11</v>
      </c>
      <c r="P75">
        <v>4</v>
      </c>
    </row>
    <row r="77" spans="1:16" x14ac:dyDescent="0.25">
      <c r="A77" t="s">
        <v>76</v>
      </c>
      <c r="B77">
        <v>3804</v>
      </c>
      <c r="C77">
        <v>3823</v>
      </c>
      <c r="D77">
        <v>3821</v>
      </c>
      <c r="E77">
        <v>3827</v>
      </c>
      <c r="F77">
        <v>3820</v>
      </c>
      <c r="G77">
        <v>3833</v>
      </c>
      <c r="H77">
        <v>3830</v>
      </c>
      <c r="I77">
        <v>3830</v>
      </c>
      <c r="J77">
        <v>3817</v>
      </c>
      <c r="K77">
        <v>3819</v>
      </c>
      <c r="L77">
        <v>3812</v>
      </c>
      <c r="M77">
        <v>3809</v>
      </c>
      <c r="N77">
        <v>3800</v>
      </c>
      <c r="O77">
        <v>3808</v>
      </c>
      <c r="P77">
        <v>3814</v>
      </c>
    </row>
    <row r="78" spans="1:16" x14ac:dyDescent="0.25">
      <c r="A78" t="s">
        <v>77</v>
      </c>
      <c r="B78">
        <v>7.8</v>
      </c>
      <c r="C78">
        <v>6</v>
      </c>
      <c r="D78">
        <v>6.5</v>
      </c>
      <c r="E78">
        <v>6.5</v>
      </c>
      <c r="F78">
        <v>6.2</v>
      </c>
      <c r="G78">
        <v>5.8</v>
      </c>
      <c r="H78">
        <v>6.7</v>
      </c>
      <c r="I78">
        <v>6.4</v>
      </c>
      <c r="J78">
        <v>5.3</v>
      </c>
      <c r="K78">
        <v>3.6</v>
      </c>
      <c r="L78">
        <v>3.2</v>
      </c>
      <c r="M78">
        <v>3.2</v>
      </c>
      <c r="N78">
        <v>3.1</v>
      </c>
      <c r="O78">
        <v>3.4</v>
      </c>
      <c r="P78">
        <v>5.3</v>
      </c>
    </row>
    <row r="79" spans="1:16" x14ac:dyDescent="0.25">
      <c r="A79" t="s">
        <v>78</v>
      </c>
      <c r="B79">
        <v>-16.899999999999999</v>
      </c>
      <c r="C79">
        <v>-10.1</v>
      </c>
      <c r="D79">
        <v>-6.5</v>
      </c>
      <c r="E79">
        <v>-5.0999999999999996</v>
      </c>
      <c r="F79">
        <v>-6.1</v>
      </c>
      <c r="G79">
        <v>-8.1</v>
      </c>
      <c r="H79">
        <v>-5.9</v>
      </c>
      <c r="I79">
        <v>-5.8</v>
      </c>
      <c r="J79">
        <v>-5.6</v>
      </c>
      <c r="K79">
        <v>-5.4</v>
      </c>
      <c r="L79">
        <v>-3.8</v>
      </c>
      <c r="M79">
        <v>-2.5</v>
      </c>
      <c r="N79">
        <v>-4.7</v>
      </c>
      <c r="O79">
        <v>-10.5</v>
      </c>
      <c r="P79">
        <v>-5.5</v>
      </c>
    </row>
    <row r="80" spans="1:16" x14ac:dyDescent="0.25">
      <c r="A80" t="s">
        <v>79</v>
      </c>
      <c r="B80">
        <v>15</v>
      </c>
      <c r="C80">
        <v>30</v>
      </c>
      <c r="D80">
        <v>38</v>
      </c>
      <c r="E80">
        <v>43</v>
      </c>
      <c r="F80">
        <v>41</v>
      </c>
      <c r="G80">
        <v>36</v>
      </c>
      <c r="H80">
        <v>40</v>
      </c>
      <c r="I80">
        <v>41</v>
      </c>
      <c r="J80">
        <v>45</v>
      </c>
      <c r="K80">
        <v>51</v>
      </c>
      <c r="L80">
        <v>60</v>
      </c>
      <c r="M80">
        <v>66</v>
      </c>
      <c r="N80">
        <v>56</v>
      </c>
      <c r="O80">
        <v>35</v>
      </c>
      <c r="P80">
        <v>45</v>
      </c>
    </row>
    <row r="81" spans="1:16" x14ac:dyDescent="0.25">
      <c r="A81" t="s">
        <v>80</v>
      </c>
      <c r="B81">
        <v>203</v>
      </c>
      <c r="C81">
        <v>193</v>
      </c>
      <c r="D81">
        <v>190</v>
      </c>
      <c r="E81">
        <v>173</v>
      </c>
      <c r="F81">
        <v>180</v>
      </c>
      <c r="G81">
        <v>184</v>
      </c>
      <c r="H81">
        <v>226</v>
      </c>
      <c r="I81">
        <v>187</v>
      </c>
      <c r="J81">
        <v>224</v>
      </c>
      <c r="K81">
        <v>258</v>
      </c>
      <c r="L81">
        <v>290</v>
      </c>
      <c r="M81">
        <v>278</v>
      </c>
      <c r="N81">
        <v>268</v>
      </c>
      <c r="O81">
        <v>249</v>
      </c>
      <c r="P81">
        <v>243</v>
      </c>
    </row>
    <row r="82" spans="1:16" x14ac:dyDescent="0.25">
      <c r="A82" t="s">
        <v>81</v>
      </c>
      <c r="B82">
        <v>11</v>
      </c>
      <c r="C82">
        <v>10</v>
      </c>
      <c r="D82">
        <v>9</v>
      </c>
      <c r="E82">
        <v>8</v>
      </c>
      <c r="F82">
        <v>8</v>
      </c>
      <c r="G82">
        <v>10</v>
      </c>
      <c r="H82">
        <v>7</v>
      </c>
      <c r="I82">
        <v>4</v>
      </c>
      <c r="J82">
        <v>8</v>
      </c>
      <c r="K82">
        <v>9</v>
      </c>
      <c r="L82">
        <v>10</v>
      </c>
      <c r="M82">
        <v>11</v>
      </c>
      <c r="N82">
        <v>12</v>
      </c>
      <c r="O82">
        <v>8</v>
      </c>
      <c r="P82">
        <v>4</v>
      </c>
    </row>
    <row r="84" spans="1:16" x14ac:dyDescent="0.25">
      <c r="A84" t="s">
        <v>82</v>
      </c>
      <c r="B84">
        <v>4456</v>
      </c>
      <c r="C84">
        <v>4470</v>
      </c>
      <c r="D84">
        <v>4470</v>
      </c>
      <c r="E84">
        <v>4477</v>
      </c>
      <c r="F84">
        <v>4469</v>
      </c>
      <c r="G84">
        <v>4481</v>
      </c>
      <c r="H84">
        <v>4480</v>
      </c>
      <c r="I84">
        <v>4480</v>
      </c>
      <c r="J84">
        <v>4464</v>
      </c>
      <c r="K84">
        <v>4462</v>
      </c>
      <c r="L84">
        <v>4455</v>
      </c>
      <c r="M84">
        <v>4451</v>
      </c>
      <c r="N84">
        <v>4442</v>
      </c>
      <c r="O84">
        <v>4452</v>
      </c>
      <c r="P84">
        <v>4462</v>
      </c>
    </row>
    <row r="85" spans="1:16" x14ac:dyDescent="0.25">
      <c r="A85" t="s">
        <v>83</v>
      </c>
      <c r="B85">
        <v>2.2000000000000002</v>
      </c>
      <c r="C85">
        <v>-0.6</v>
      </c>
      <c r="D85">
        <v>0.4</v>
      </c>
      <c r="E85">
        <v>0.8</v>
      </c>
      <c r="F85">
        <v>0.3</v>
      </c>
      <c r="G85">
        <v>0.2</v>
      </c>
      <c r="H85">
        <v>0.9</v>
      </c>
      <c r="I85">
        <v>1</v>
      </c>
      <c r="J85">
        <v>-0.2</v>
      </c>
      <c r="K85">
        <v>-1.5</v>
      </c>
      <c r="L85">
        <v>-1.9</v>
      </c>
      <c r="M85">
        <v>-2.1</v>
      </c>
      <c r="N85">
        <v>-1.5</v>
      </c>
      <c r="O85">
        <v>0</v>
      </c>
      <c r="P85">
        <v>1</v>
      </c>
    </row>
    <row r="86" spans="1:16" x14ac:dyDescent="0.25">
      <c r="A86" t="s">
        <v>84</v>
      </c>
      <c r="B86">
        <v>-16.600000000000001</v>
      </c>
      <c r="C86">
        <v>-9.6999999999999993</v>
      </c>
      <c r="D86">
        <v>-7.8</v>
      </c>
      <c r="E86">
        <v>-6.2</v>
      </c>
      <c r="F86">
        <v>-7.4</v>
      </c>
      <c r="G86">
        <v>-9.1999999999999993</v>
      </c>
      <c r="H86">
        <v>-8.4</v>
      </c>
      <c r="I86">
        <v>-8.9</v>
      </c>
      <c r="J86">
        <v>-7.7</v>
      </c>
      <c r="K86">
        <v>-6.4</v>
      </c>
      <c r="L86">
        <v>-5.6</v>
      </c>
      <c r="M86">
        <v>-5.0999999999999996</v>
      </c>
      <c r="N86">
        <v>-13.2</v>
      </c>
      <c r="O86">
        <v>-23.2</v>
      </c>
      <c r="P86">
        <v>-13.5</v>
      </c>
    </row>
    <row r="87" spans="1:16" x14ac:dyDescent="0.25">
      <c r="A87" t="s">
        <v>85</v>
      </c>
      <c r="B87">
        <v>23</v>
      </c>
      <c r="C87">
        <v>50</v>
      </c>
      <c r="D87">
        <v>54</v>
      </c>
      <c r="E87">
        <v>59</v>
      </c>
      <c r="F87">
        <v>56</v>
      </c>
      <c r="G87">
        <v>49</v>
      </c>
      <c r="H87">
        <v>50</v>
      </c>
      <c r="I87">
        <v>47</v>
      </c>
      <c r="J87">
        <v>57</v>
      </c>
      <c r="K87">
        <v>69</v>
      </c>
      <c r="L87">
        <v>76</v>
      </c>
      <c r="M87">
        <v>80</v>
      </c>
      <c r="N87">
        <v>40</v>
      </c>
      <c r="O87">
        <v>16</v>
      </c>
      <c r="P87">
        <v>33</v>
      </c>
    </row>
    <row r="88" spans="1:16" x14ac:dyDescent="0.25">
      <c r="A88" t="s">
        <v>86</v>
      </c>
      <c r="B88">
        <v>213</v>
      </c>
      <c r="C88">
        <v>184</v>
      </c>
      <c r="D88">
        <v>184</v>
      </c>
      <c r="E88">
        <v>170</v>
      </c>
      <c r="F88">
        <v>180</v>
      </c>
      <c r="G88">
        <v>191</v>
      </c>
      <c r="H88">
        <v>204</v>
      </c>
      <c r="I88">
        <v>158</v>
      </c>
      <c r="J88">
        <v>213</v>
      </c>
      <c r="K88">
        <v>259</v>
      </c>
      <c r="L88">
        <v>295</v>
      </c>
      <c r="M88">
        <v>288</v>
      </c>
      <c r="N88">
        <v>288</v>
      </c>
      <c r="O88">
        <v>280</v>
      </c>
      <c r="P88">
        <v>265</v>
      </c>
    </row>
    <row r="89" spans="1:16" x14ac:dyDescent="0.25">
      <c r="A89" t="s">
        <v>87</v>
      </c>
      <c r="B89">
        <v>17</v>
      </c>
      <c r="C89">
        <v>11</v>
      </c>
      <c r="D89">
        <v>11</v>
      </c>
      <c r="E89">
        <v>15</v>
      </c>
      <c r="F89">
        <v>14</v>
      </c>
      <c r="G89">
        <v>15</v>
      </c>
      <c r="H89">
        <v>7</v>
      </c>
      <c r="I89">
        <v>10</v>
      </c>
      <c r="J89">
        <v>9</v>
      </c>
      <c r="K89">
        <v>7</v>
      </c>
      <c r="L89">
        <v>10</v>
      </c>
      <c r="M89">
        <v>13</v>
      </c>
      <c r="N89">
        <v>12</v>
      </c>
      <c r="O89">
        <v>7</v>
      </c>
      <c r="P89">
        <v>4</v>
      </c>
    </row>
    <row r="91" spans="1:16" x14ac:dyDescent="0.25">
      <c r="A91" t="s">
        <v>88</v>
      </c>
      <c r="B91">
        <v>5150</v>
      </c>
      <c r="C91">
        <v>5157</v>
      </c>
      <c r="D91">
        <v>5161</v>
      </c>
      <c r="E91">
        <v>5168</v>
      </c>
      <c r="F91">
        <v>5159</v>
      </c>
      <c r="G91">
        <v>5171</v>
      </c>
      <c r="H91">
        <v>5172</v>
      </c>
      <c r="I91">
        <v>5172</v>
      </c>
      <c r="J91">
        <v>5154</v>
      </c>
      <c r="K91">
        <v>5150</v>
      </c>
      <c r="L91">
        <v>5141</v>
      </c>
      <c r="M91">
        <v>5137</v>
      </c>
      <c r="N91">
        <v>5130</v>
      </c>
      <c r="O91">
        <v>5144</v>
      </c>
      <c r="P91">
        <v>5155</v>
      </c>
    </row>
    <row r="92" spans="1:16" x14ac:dyDescent="0.25">
      <c r="A92" t="s">
        <v>89</v>
      </c>
      <c r="B92">
        <v>-4.2</v>
      </c>
      <c r="C92">
        <v>-7</v>
      </c>
      <c r="D92">
        <v>-5.5</v>
      </c>
      <c r="E92">
        <v>-5.5</v>
      </c>
      <c r="F92">
        <v>-5.5</v>
      </c>
      <c r="G92">
        <v>-5.4</v>
      </c>
      <c r="H92">
        <v>-4.5999999999999996</v>
      </c>
      <c r="I92">
        <v>-4.4000000000000004</v>
      </c>
      <c r="J92">
        <v>-5.2</v>
      </c>
      <c r="K92">
        <v>-5.6</v>
      </c>
      <c r="L92">
        <v>-6.1</v>
      </c>
      <c r="M92">
        <v>-6</v>
      </c>
      <c r="N92">
        <v>-5</v>
      </c>
      <c r="O92">
        <v>-3.5</v>
      </c>
      <c r="P92">
        <v>-3.4</v>
      </c>
    </row>
    <row r="93" spans="1:16" x14ac:dyDescent="0.25">
      <c r="A93" t="s">
        <v>90</v>
      </c>
      <c r="B93">
        <v>-14.2</v>
      </c>
      <c r="C93">
        <v>-9.5</v>
      </c>
      <c r="D93">
        <v>-9</v>
      </c>
      <c r="E93">
        <v>-8.1</v>
      </c>
      <c r="F93">
        <v>-10.1</v>
      </c>
      <c r="G93">
        <v>-13.4</v>
      </c>
      <c r="H93">
        <v>-13.4</v>
      </c>
      <c r="I93">
        <v>-12.7</v>
      </c>
      <c r="J93">
        <v>-10.7</v>
      </c>
      <c r="K93">
        <v>-11.3</v>
      </c>
      <c r="L93">
        <v>-11.1</v>
      </c>
      <c r="M93">
        <v>-14.1</v>
      </c>
      <c r="N93">
        <v>-25</v>
      </c>
      <c r="O93">
        <v>-34.6</v>
      </c>
      <c r="P93">
        <v>-32.1</v>
      </c>
    </row>
    <row r="94" spans="1:16" x14ac:dyDescent="0.25">
      <c r="A94" t="s">
        <v>91</v>
      </c>
      <c r="B94">
        <v>46</v>
      </c>
      <c r="C94">
        <v>82</v>
      </c>
      <c r="D94">
        <v>76</v>
      </c>
      <c r="E94">
        <v>82</v>
      </c>
      <c r="F94">
        <v>70</v>
      </c>
      <c r="G94">
        <v>53</v>
      </c>
      <c r="H94">
        <v>50</v>
      </c>
      <c r="I94">
        <v>52</v>
      </c>
      <c r="J94">
        <v>65</v>
      </c>
      <c r="K94">
        <v>64</v>
      </c>
      <c r="L94">
        <v>68</v>
      </c>
      <c r="M94">
        <v>53</v>
      </c>
      <c r="N94">
        <v>19</v>
      </c>
      <c r="O94">
        <v>7</v>
      </c>
      <c r="P94">
        <v>9</v>
      </c>
    </row>
    <row r="95" spans="1:16" x14ac:dyDescent="0.25">
      <c r="A95" t="s">
        <v>92</v>
      </c>
      <c r="B95">
        <v>206</v>
      </c>
      <c r="C95">
        <v>180</v>
      </c>
      <c r="D95">
        <v>188</v>
      </c>
      <c r="E95">
        <v>169</v>
      </c>
      <c r="F95">
        <v>183</v>
      </c>
      <c r="G95">
        <v>200</v>
      </c>
      <c r="H95">
        <v>186</v>
      </c>
      <c r="I95">
        <v>167</v>
      </c>
      <c r="J95">
        <v>202</v>
      </c>
      <c r="K95">
        <v>153</v>
      </c>
      <c r="L95">
        <v>276</v>
      </c>
      <c r="M95">
        <v>294</v>
      </c>
      <c r="N95">
        <v>308</v>
      </c>
      <c r="O95">
        <v>303</v>
      </c>
      <c r="P95">
        <v>271</v>
      </c>
    </row>
    <row r="96" spans="1:16" x14ac:dyDescent="0.25">
      <c r="A96" t="s">
        <v>93</v>
      </c>
      <c r="B96">
        <v>19</v>
      </c>
      <c r="C96">
        <v>14</v>
      </c>
      <c r="D96">
        <v>12</v>
      </c>
      <c r="E96">
        <v>21</v>
      </c>
      <c r="F96">
        <v>21</v>
      </c>
      <c r="G96">
        <v>19</v>
      </c>
      <c r="H96">
        <v>11</v>
      </c>
      <c r="I96">
        <v>14</v>
      </c>
      <c r="J96">
        <v>8</v>
      </c>
      <c r="K96">
        <v>3</v>
      </c>
      <c r="L96">
        <v>7</v>
      </c>
      <c r="M96">
        <v>14</v>
      </c>
      <c r="N96">
        <v>14</v>
      </c>
      <c r="O96">
        <v>11</v>
      </c>
      <c r="P96">
        <v>8</v>
      </c>
    </row>
    <row r="98" spans="1:16" x14ac:dyDescent="0.25">
      <c r="A98" t="s">
        <v>94</v>
      </c>
      <c r="B98">
        <v>5892</v>
      </c>
      <c r="C98">
        <v>5895</v>
      </c>
      <c r="D98">
        <v>5901</v>
      </c>
      <c r="E98">
        <v>5908</v>
      </c>
      <c r="F98">
        <v>5899</v>
      </c>
      <c r="G98">
        <v>5911</v>
      </c>
      <c r="H98">
        <v>5914</v>
      </c>
      <c r="I98">
        <v>5915</v>
      </c>
      <c r="J98">
        <v>5895</v>
      </c>
      <c r="K98">
        <v>5892</v>
      </c>
      <c r="L98">
        <v>5882</v>
      </c>
      <c r="M98">
        <v>5878</v>
      </c>
      <c r="N98">
        <v>5871</v>
      </c>
      <c r="O98">
        <v>5888</v>
      </c>
      <c r="P98">
        <v>5899</v>
      </c>
    </row>
    <row r="99" spans="1:16" x14ac:dyDescent="0.25">
      <c r="A99" t="s">
        <v>95</v>
      </c>
      <c r="B99">
        <v>-10.199999999999999</v>
      </c>
      <c r="C99">
        <v>-10.6</v>
      </c>
      <c r="D99">
        <v>-10.4</v>
      </c>
      <c r="E99">
        <v>-11.2</v>
      </c>
      <c r="F99">
        <v>-11</v>
      </c>
      <c r="G99">
        <v>-10.6</v>
      </c>
      <c r="H99">
        <v>-9.9</v>
      </c>
      <c r="I99">
        <v>-10.1</v>
      </c>
      <c r="J99">
        <v>-9.6999999999999993</v>
      </c>
      <c r="K99">
        <v>-9.8000000000000007</v>
      </c>
      <c r="L99">
        <v>-9.8000000000000007</v>
      </c>
      <c r="M99">
        <v>-10.1</v>
      </c>
      <c r="N99">
        <v>-10</v>
      </c>
      <c r="O99">
        <v>-9.5</v>
      </c>
      <c r="P99">
        <v>-9.1999999999999993</v>
      </c>
    </row>
    <row r="100" spans="1:16" x14ac:dyDescent="0.25">
      <c r="A100" t="s">
        <v>96</v>
      </c>
      <c r="B100">
        <v>-14.2</v>
      </c>
      <c r="C100">
        <v>-11.3</v>
      </c>
      <c r="D100">
        <v>-12.7</v>
      </c>
      <c r="E100">
        <v>-15.6</v>
      </c>
      <c r="F100">
        <v>-17.2</v>
      </c>
      <c r="G100">
        <v>-22.9</v>
      </c>
      <c r="H100">
        <v>-20.7</v>
      </c>
      <c r="I100">
        <v>-16</v>
      </c>
      <c r="J100">
        <v>-15</v>
      </c>
      <c r="K100">
        <v>-15.2</v>
      </c>
      <c r="L100">
        <v>-15.6</v>
      </c>
      <c r="M100">
        <v>-21.8</v>
      </c>
      <c r="N100">
        <v>-33.799999999999997</v>
      </c>
      <c r="O100">
        <v>-41</v>
      </c>
      <c r="P100">
        <v>-37.200000000000003</v>
      </c>
    </row>
    <row r="101" spans="1:16" x14ac:dyDescent="0.25">
      <c r="A101" t="s">
        <v>97</v>
      </c>
      <c r="B101">
        <v>73</v>
      </c>
      <c r="C101">
        <v>95</v>
      </c>
      <c r="D101">
        <v>84</v>
      </c>
      <c r="E101">
        <v>70</v>
      </c>
      <c r="F101">
        <v>61</v>
      </c>
      <c r="G101">
        <v>36</v>
      </c>
      <c r="H101">
        <v>41</v>
      </c>
      <c r="I101">
        <v>62</v>
      </c>
      <c r="J101">
        <v>65</v>
      </c>
      <c r="K101">
        <v>65</v>
      </c>
      <c r="L101">
        <v>63</v>
      </c>
      <c r="M101">
        <v>38</v>
      </c>
      <c r="N101">
        <v>13</v>
      </c>
      <c r="O101">
        <v>6</v>
      </c>
      <c r="P101">
        <v>9</v>
      </c>
    </row>
    <row r="102" spans="1:16" x14ac:dyDescent="0.25">
      <c r="A102" t="s">
        <v>98</v>
      </c>
      <c r="B102">
        <v>188</v>
      </c>
      <c r="C102">
        <v>188</v>
      </c>
      <c r="D102">
        <v>201</v>
      </c>
      <c r="E102">
        <v>178</v>
      </c>
      <c r="F102">
        <v>191</v>
      </c>
      <c r="G102">
        <v>204</v>
      </c>
      <c r="H102">
        <v>190</v>
      </c>
      <c r="I102">
        <v>176</v>
      </c>
      <c r="J102">
        <v>184</v>
      </c>
      <c r="K102">
        <v>123</v>
      </c>
      <c r="L102">
        <v>240</v>
      </c>
      <c r="M102">
        <v>293</v>
      </c>
      <c r="N102">
        <v>310</v>
      </c>
      <c r="O102">
        <v>300</v>
      </c>
      <c r="P102">
        <v>267</v>
      </c>
    </row>
    <row r="103" spans="1:16" x14ac:dyDescent="0.25">
      <c r="A103" t="s">
        <v>99</v>
      </c>
      <c r="B103">
        <v>21</v>
      </c>
      <c r="C103">
        <v>26</v>
      </c>
      <c r="D103">
        <v>17</v>
      </c>
      <c r="E103">
        <v>21</v>
      </c>
      <c r="F103">
        <v>26</v>
      </c>
      <c r="G103">
        <v>19</v>
      </c>
      <c r="H103">
        <v>14</v>
      </c>
      <c r="I103">
        <v>14</v>
      </c>
      <c r="J103">
        <v>9</v>
      </c>
      <c r="K103">
        <v>7</v>
      </c>
      <c r="L103">
        <v>3</v>
      </c>
      <c r="M103">
        <v>13</v>
      </c>
      <c r="N103">
        <v>16</v>
      </c>
      <c r="O103">
        <v>13</v>
      </c>
      <c r="P103">
        <v>12</v>
      </c>
    </row>
    <row r="105" spans="1:16" x14ac:dyDescent="0.25">
      <c r="A105" t="s">
        <v>100</v>
      </c>
      <c r="B105">
        <v>6695</v>
      </c>
      <c r="C105">
        <v>6698</v>
      </c>
      <c r="D105">
        <v>6703</v>
      </c>
      <c r="E105">
        <v>6707</v>
      </c>
      <c r="F105">
        <v>6699</v>
      </c>
      <c r="G105">
        <v>6713</v>
      </c>
      <c r="H105">
        <v>6718</v>
      </c>
      <c r="I105">
        <v>6718</v>
      </c>
      <c r="J105">
        <v>6700</v>
      </c>
      <c r="K105">
        <v>6696</v>
      </c>
      <c r="L105">
        <v>6688</v>
      </c>
      <c r="M105">
        <v>6681</v>
      </c>
      <c r="N105">
        <v>6673</v>
      </c>
      <c r="O105">
        <v>6691</v>
      </c>
      <c r="P105">
        <v>6703</v>
      </c>
    </row>
    <row r="106" spans="1:16" x14ac:dyDescent="0.25">
      <c r="A106" t="s">
        <v>101</v>
      </c>
      <c r="B106">
        <v>-15.9</v>
      </c>
      <c r="C106">
        <v>-15.3</v>
      </c>
      <c r="D106">
        <v>-16.5</v>
      </c>
      <c r="E106">
        <v>-16.8</v>
      </c>
      <c r="F106">
        <v>-16.5</v>
      </c>
      <c r="G106">
        <v>-15.5</v>
      </c>
      <c r="H106">
        <v>-15.3</v>
      </c>
      <c r="I106">
        <v>-15.3</v>
      </c>
      <c r="J106">
        <v>-15.4</v>
      </c>
      <c r="K106">
        <v>-15.1</v>
      </c>
      <c r="L106">
        <v>-14.8</v>
      </c>
      <c r="M106">
        <v>-15.5</v>
      </c>
      <c r="N106">
        <v>-15.8</v>
      </c>
      <c r="O106">
        <v>-15.4</v>
      </c>
      <c r="P106">
        <v>-15.5</v>
      </c>
    </row>
    <row r="107" spans="1:16" x14ac:dyDescent="0.25">
      <c r="A107" t="s">
        <v>102</v>
      </c>
      <c r="B107">
        <v>-18.2</v>
      </c>
      <c r="C107">
        <v>-16.8</v>
      </c>
      <c r="D107">
        <v>-20.8</v>
      </c>
      <c r="E107">
        <v>-26.3</v>
      </c>
      <c r="F107">
        <v>-27</v>
      </c>
      <c r="G107">
        <v>-33.299999999999997</v>
      </c>
      <c r="H107">
        <v>-29.8</v>
      </c>
      <c r="I107">
        <v>-24.4</v>
      </c>
      <c r="J107">
        <v>-21.7</v>
      </c>
      <c r="K107">
        <v>-18.899999999999999</v>
      </c>
      <c r="L107">
        <v>-20.100000000000001</v>
      </c>
      <c r="M107">
        <v>-28.5</v>
      </c>
      <c r="N107">
        <v>-41.5</v>
      </c>
      <c r="O107">
        <v>-39.299999999999997</v>
      </c>
      <c r="P107">
        <v>-33.799999999999997</v>
      </c>
    </row>
    <row r="108" spans="1:16" x14ac:dyDescent="0.25">
      <c r="A108" t="s">
        <v>103</v>
      </c>
      <c r="B108">
        <v>83</v>
      </c>
      <c r="C108">
        <v>88</v>
      </c>
      <c r="D108">
        <v>70</v>
      </c>
      <c r="E108">
        <v>44</v>
      </c>
      <c r="F108">
        <v>41</v>
      </c>
      <c r="G108">
        <v>21</v>
      </c>
      <c r="H108">
        <v>29</v>
      </c>
      <c r="I108">
        <v>46</v>
      </c>
      <c r="J108">
        <v>59</v>
      </c>
      <c r="K108">
        <v>73</v>
      </c>
      <c r="L108">
        <v>64</v>
      </c>
      <c r="M108">
        <v>32</v>
      </c>
      <c r="N108">
        <v>10</v>
      </c>
      <c r="O108">
        <v>12</v>
      </c>
      <c r="P108">
        <v>20</v>
      </c>
    </row>
    <row r="109" spans="1:16" x14ac:dyDescent="0.25">
      <c r="A109" t="s">
        <v>104</v>
      </c>
      <c r="B109">
        <v>172</v>
      </c>
      <c r="C109">
        <v>187</v>
      </c>
      <c r="D109">
        <v>203</v>
      </c>
      <c r="E109">
        <v>193</v>
      </c>
      <c r="F109">
        <v>206</v>
      </c>
      <c r="G109">
        <v>198</v>
      </c>
      <c r="H109">
        <v>198</v>
      </c>
      <c r="I109">
        <v>190</v>
      </c>
      <c r="J109">
        <v>190</v>
      </c>
      <c r="K109">
        <v>150</v>
      </c>
      <c r="L109">
        <v>202</v>
      </c>
      <c r="M109">
        <v>285</v>
      </c>
      <c r="N109">
        <v>300</v>
      </c>
      <c r="O109">
        <v>291</v>
      </c>
      <c r="P109">
        <v>264</v>
      </c>
    </row>
    <row r="110" spans="1:16" x14ac:dyDescent="0.25">
      <c r="A110" t="s">
        <v>105</v>
      </c>
      <c r="B110">
        <v>23</v>
      </c>
      <c r="C110">
        <v>33</v>
      </c>
      <c r="D110">
        <v>27</v>
      </c>
      <c r="E110">
        <v>26</v>
      </c>
      <c r="F110">
        <v>27</v>
      </c>
      <c r="G110">
        <v>18</v>
      </c>
      <c r="H110">
        <v>17</v>
      </c>
      <c r="I110">
        <v>15</v>
      </c>
      <c r="J110">
        <v>11</v>
      </c>
      <c r="K110">
        <v>10</v>
      </c>
      <c r="L110">
        <v>7</v>
      </c>
      <c r="M110">
        <v>11</v>
      </c>
      <c r="N110">
        <v>17</v>
      </c>
      <c r="O110">
        <v>17</v>
      </c>
      <c r="P110">
        <v>17</v>
      </c>
    </row>
    <row r="112" spans="1:16" x14ac:dyDescent="0.25">
      <c r="A112" t="s">
        <v>106</v>
      </c>
      <c r="B112">
        <v>7572</v>
      </c>
      <c r="C112">
        <v>7578</v>
      </c>
      <c r="D112">
        <v>7580</v>
      </c>
      <c r="E112">
        <v>7583</v>
      </c>
      <c r="F112">
        <v>7576</v>
      </c>
      <c r="G112">
        <v>7592</v>
      </c>
      <c r="H112">
        <v>7596</v>
      </c>
      <c r="I112">
        <v>7596</v>
      </c>
      <c r="J112">
        <v>7578</v>
      </c>
      <c r="K112">
        <v>7576</v>
      </c>
      <c r="L112">
        <v>7569</v>
      </c>
      <c r="M112">
        <v>7560</v>
      </c>
      <c r="N112">
        <v>7550</v>
      </c>
      <c r="O112">
        <v>7567</v>
      </c>
      <c r="P112">
        <v>7578</v>
      </c>
    </row>
    <row r="113" spans="1:16" x14ac:dyDescent="0.25">
      <c r="A113" t="s">
        <v>107</v>
      </c>
      <c r="B113">
        <v>-21.2</v>
      </c>
      <c r="C113">
        <v>-21.2</v>
      </c>
      <c r="D113">
        <v>-21.1</v>
      </c>
      <c r="E113">
        <v>-21.1</v>
      </c>
      <c r="F113">
        <v>-21.2</v>
      </c>
      <c r="G113">
        <v>-21.1</v>
      </c>
      <c r="H113">
        <v>-21.3</v>
      </c>
      <c r="I113">
        <v>-21.5</v>
      </c>
      <c r="J113">
        <v>-21.7</v>
      </c>
      <c r="K113">
        <v>-20.9</v>
      </c>
      <c r="L113">
        <v>-20.6</v>
      </c>
      <c r="M113">
        <v>-20.5</v>
      </c>
      <c r="N113">
        <v>-22</v>
      </c>
      <c r="O113">
        <v>-22.6</v>
      </c>
      <c r="P113">
        <v>-22.9</v>
      </c>
    </row>
    <row r="114" spans="1:16" x14ac:dyDescent="0.25">
      <c r="A114" t="s">
        <v>108</v>
      </c>
      <c r="B114">
        <v>-22.6</v>
      </c>
      <c r="C114">
        <v>-23.5</v>
      </c>
      <c r="D114">
        <v>-35.799999999999997</v>
      </c>
      <c r="E114">
        <v>-36.4</v>
      </c>
      <c r="F114">
        <v>-43.7</v>
      </c>
      <c r="G114">
        <v>-45.8</v>
      </c>
      <c r="H114">
        <v>-48.1</v>
      </c>
      <c r="I114">
        <v>-36.299999999999997</v>
      </c>
      <c r="J114">
        <v>-29.4</v>
      </c>
      <c r="K114">
        <v>-25.7</v>
      </c>
      <c r="L114">
        <v>-30.8</v>
      </c>
      <c r="M114">
        <v>-43.9</v>
      </c>
      <c r="N114">
        <v>-45.2</v>
      </c>
      <c r="O114">
        <v>-39.5</v>
      </c>
      <c r="P114">
        <v>-31.3</v>
      </c>
    </row>
    <row r="115" spans="1:16" x14ac:dyDescent="0.25">
      <c r="A115" t="s">
        <v>109</v>
      </c>
      <c r="B115">
        <v>89</v>
      </c>
      <c r="C115">
        <v>82</v>
      </c>
      <c r="D115">
        <v>26</v>
      </c>
      <c r="E115">
        <v>25</v>
      </c>
      <c r="F115">
        <v>12</v>
      </c>
      <c r="G115">
        <v>10</v>
      </c>
      <c r="H115">
        <v>8</v>
      </c>
      <c r="I115">
        <v>26</v>
      </c>
      <c r="J115">
        <v>50</v>
      </c>
      <c r="K115">
        <v>66</v>
      </c>
      <c r="L115">
        <v>41</v>
      </c>
      <c r="M115">
        <v>11</v>
      </c>
      <c r="N115">
        <v>11</v>
      </c>
      <c r="O115">
        <v>21</v>
      </c>
      <c r="P115">
        <v>47</v>
      </c>
    </row>
    <row r="116" spans="1:16" x14ac:dyDescent="0.25">
      <c r="A116" t="s">
        <v>110</v>
      </c>
      <c r="B116">
        <v>175</v>
      </c>
      <c r="C116">
        <v>182</v>
      </c>
      <c r="D116">
        <v>197</v>
      </c>
      <c r="E116">
        <v>207</v>
      </c>
      <c r="F116">
        <v>219</v>
      </c>
      <c r="G116">
        <v>204</v>
      </c>
      <c r="H116">
        <v>204</v>
      </c>
      <c r="I116">
        <v>197</v>
      </c>
      <c r="J116">
        <v>197</v>
      </c>
      <c r="K116">
        <v>164</v>
      </c>
      <c r="L116">
        <v>187</v>
      </c>
      <c r="M116">
        <v>248</v>
      </c>
      <c r="N116">
        <v>284</v>
      </c>
      <c r="O116">
        <v>278</v>
      </c>
      <c r="P116">
        <v>259</v>
      </c>
    </row>
    <row r="117" spans="1:16" x14ac:dyDescent="0.25">
      <c r="A117" t="s">
        <v>111</v>
      </c>
      <c r="B117">
        <v>24</v>
      </c>
      <c r="C117">
        <v>38</v>
      </c>
      <c r="D117">
        <v>38</v>
      </c>
      <c r="E117">
        <v>38</v>
      </c>
      <c r="F117">
        <v>27</v>
      </c>
      <c r="G117">
        <v>19</v>
      </c>
      <c r="H117">
        <v>20</v>
      </c>
      <c r="I117">
        <v>19</v>
      </c>
      <c r="J117">
        <v>17</v>
      </c>
      <c r="K117">
        <v>16</v>
      </c>
      <c r="L117">
        <v>12</v>
      </c>
      <c r="M117">
        <v>10</v>
      </c>
      <c r="N117">
        <v>17</v>
      </c>
      <c r="O117">
        <v>20</v>
      </c>
      <c r="P117">
        <v>23</v>
      </c>
    </row>
    <row r="119" spans="1:16" x14ac:dyDescent="0.25">
      <c r="A119" t="s">
        <v>112</v>
      </c>
      <c r="B119">
        <v>8544</v>
      </c>
      <c r="C119">
        <v>8548</v>
      </c>
      <c r="D119">
        <v>8552</v>
      </c>
      <c r="E119">
        <v>8556</v>
      </c>
      <c r="F119">
        <v>8547</v>
      </c>
      <c r="G119">
        <v>8563</v>
      </c>
      <c r="H119">
        <v>8566</v>
      </c>
      <c r="I119">
        <v>8565</v>
      </c>
      <c r="J119">
        <v>8547</v>
      </c>
      <c r="K119">
        <v>8547</v>
      </c>
      <c r="L119">
        <v>8543</v>
      </c>
      <c r="M119">
        <v>8532</v>
      </c>
      <c r="N119">
        <v>8516</v>
      </c>
      <c r="O119">
        <v>8531</v>
      </c>
      <c r="P119">
        <v>8540</v>
      </c>
    </row>
    <row r="120" spans="1:16" x14ac:dyDescent="0.25">
      <c r="A120" t="s">
        <v>113</v>
      </c>
      <c r="B120">
        <v>-28.3</v>
      </c>
      <c r="C120">
        <v>-28.3</v>
      </c>
      <c r="D120">
        <v>-27.6</v>
      </c>
      <c r="E120">
        <v>-27.6</v>
      </c>
      <c r="F120">
        <v>-27.9</v>
      </c>
      <c r="G120">
        <v>-28.4</v>
      </c>
      <c r="H120">
        <v>-28.7</v>
      </c>
      <c r="I120">
        <v>-28.6</v>
      </c>
      <c r="J120">
        <v>-28.2</v>
      </c>
      <c r="K120">
        <v>-28.1</v>
      </c>
      <c r="L120">
        <v>-27.8</v>
      </c>
      <c r="M120">
        <v>-28.6</v>
      </c>
      <c r="N120">
        <v>-29.1</v>
      </c>
      <c r="O120">
        <v>-30.4</v>
      </c>
      <c r="P120">
        <v>-31.1</v>
      </c>
    </row>
    <row r="121" spans="1:16" x14ac:dyDescent="0.25">
      <c r="A121" t="s">
        <v>114</v>
      </c>
      <c r="B121">
        <v>-29.8</v>
      </c>
      <c r="C121">
        <v>-31.1</v>
      </c>
      <c r="D121">
        <v>-46.2</v>
      </c>
      <c r="E121">
        <v>-48.5</v>
      </c>
      <c r="F121">
        <v>-52.6</v>
      </c>
      <c r="G121">
        <v>-50.5</v>
      </c>
      <c r="H121">
        <v>-50</v>
      </c>
      <c r="I121">
        <v>-41</v>
      </c>
      <c r="J121">
        <v>-36.799999999999997</v>
      </c>
      <c r="K121">
        <v>-34.200000000000003</v>
      </c>
      <c r="L121">
        <v>-37.5</v>
      </c>
      <c r="M121">
        <v>-51.2</v>
      </c>
      <c r="N121">
        <v>-54.9</v>
      </c>
      <c r="O121">
        <v>-38.200000000000003</v>
      </c>
      <c r="P121">
        <v>-40.5</v>
      </c>
    </row>
    <row r="122" spans="1:16" x14ac:dyDescent="0.25">
      <c r="A122" t="s">
        <v>115</v>
      </c>
      <c r="B122">
        <v>87</v>
      </c>
      <c r="C122">
        <v>77</v>
      </c>
      <c r="D122">
        <v>16</v>
      </c>
      <c r="E122">
        <v>13</v>
      </c>
      <c r="F122">
        <v>8</v>
      </c>
      <c r="G122">
        <v>11</v>
      </c>
      <c r="H122">
        <v>12</v>
      </c>
      <c r="I122">
        <v>30</v>
      </c>
      <c r="J122">
        <v>44</v>
      </c>
      <c r="K122">
        <v>57</v>
      </c>
      <c r="L122">
        <v>40</v>
      </c>
      <c r="M122">
        <v>10</v>
      </c>
      <c r="N122">
        <v>7</v>
      </c>
      <c r="O122">
        <v>47</v>
      </c>
      <c r="P122">
        <v>41</v>
      </c>
    </row>
    <row r="123" spans="1:16" x14ac:dyDescent="0.25">
      <c r="A123" t="s">
        <v>116</v>
      </c>
      <c r="B123">
        <v>183</v>
      </c>
      <c r="C123">
        <v>184</v>
      </c>
      <c r="D123">
        <v>196</v>
      </c>
      <c r="E123">
        <v>205</v>
      </c>
      <c r="F123">
        <v>211</v>
      </c>
      <c r="G123">
        <v>205</v>
      </c>
      <c r="H123">
        <v>208</v>
      </c>
      <c r="I123">
        <v>202</v>
      </c>
      <c r="J123">
        <v>193</v>
      </c>
      <c r="K123">
        <v>164</v>
      </c>
      <c r="L123">
        <v>172</v>
      </c>
      <c r="M123">
        <v>215</v>
      </c>
      <c r="N123">
        <v>263</v>
      </c>
      <c r="O123">
        <v>259</v>
      </c>
      <c r="P123">
        <v>253</v>
      </c>
    </row>
    <row r="124" spans="1:16" x14ac:dyDescent="0.25">
      <c r="A124" t="s">
        <v>117</v>
      </c>
      <c r="B124">
        <v>29</v>
      </c>
      <c r="C124">
        <v>40</v>
      </c>
      <c r="D124">
        <v>42</v>
      </c>
      <c r="E124">
        <v>39</v>
      </c>
      <c r="F124">
        <v>32</v>
      </c>
      <c r="G124">
        <v>26</v>
      </c>
      <c r="H124">
        <v>26</v>
      </c>
      <c r="I124">
        <v>27</v>
      </c>
      <c r="J124">
        <v>26</v>
      </c>
      <c r="K124">
        <v>22</v>
      </c>
      <c r="L124">
        <v>16</v>
      </c>
      <c r="M124">
        <v>13</v>
      </c>
      <c r="N124">
        <v>19</v>
      </c>
      <c r="O124">
        <v>20</v>
      </c>
      <c r="P124">
        <v>24</v>
      </c>
    </row>
    <row r="126" spans="1:16" x14ac:dyDescent="0.25">
      <c r="A126" t="s">
        <v>118</v>
      </c>
      <c r="B126">
        <v>9630</v>
      </c>
      <c r="C126">
        <v>9635</v>
      </c>
      <c r="D126">
        <v>9642</v>
      </c>
      <c r="E126">
        <v>9646</v>
      </c>
      <c r="F126">
        <v>9635</v>
      </c>
      <c r="G126">
        <v>9651</v>
      </c>
      <c r="H126">
        <v>9654</v>
      </c>
      <c r="I126">
        <v>9652</v>
      </c>
      <c r="J126">
        <v>9635</v>
      </c>
      <c r="K126">
        <v>9636</v>
      </c>
      <c r="L126">
        <v>9631</v>
      </c>
      <c r="M126">
        <v>9616</v>
      </c>
      <c r="N126">
        <v>9601</v>
      </c>
      <c r="O126">
        <v>9608</v>
      </c>
      <c r="P126">
        <v>9616</v>
      </c>
    </row>
    <row r="127" spans="1:16" x14ac:dyDescent="0.25">
      <c r="A127" t="s">
        <v>119</v>
      </c>
      <c r="B127">
        <v>-37.299999999999997</v>
      </c>
      <c r="C127">
        <v>-36.5</v>
      </c>
      <c r="D127">
        <v>-35.700000000000003</v>
      </c>
      <c r="E127">
        <v>-35.299999999999997</v>
      </c>
      <c r="F127">
        <v>-35.799999999999997</v>
      </c>
      <c r="G127">
        <v>-35.5</v>
      </c>
      <c r="H127">
        <v>-35.4</v>
      </c>
      <c r="I127">
        <v>-36.1</v>
      </c>
      <c r="J127">
        <v>-36</v>
      </c>
      <c r="K127">
        <v>-36.299999999999997</v>
      </c>
      <c r="L127">
        <v>-36.5</v>
      </c>
      <c r="M127">
        <v>-37.299999999999997</v>
      </c>
      <c r="N127">
        <v>-37.299999999999997</v>
      </c>
      <c r="O127">
        <v>-38.299999999999997</v>
      </c>
      <c r="P127">
        <v>-38.4</v>
      </c>
    </row>
    <row r="128" spans="1:16" x14ac:dyDescent="0.25">
      <c r="A128" t="s">
        <v>120</v>
      </c>
      <c r="B128">
        <v>-38.700000000000003</v>
      </c>
      <c r="C128">
        <v>-46.2</v>
      </c>
      <c r="D128">
        <v>-54.5</v>
      </c>
      <c r="E128">
        <v>-56.4</v>
      </c>
      <c r="F128">
        <v>-56.8</v>
      </c>
      <c r="G128">
        <v>-60.9</v>
      </c>
      <c r="H128">
        <v>-55</v>
      </c>
      <c r="I128">
        <v>-47.4</v>
      </c>
      <c r="J128">
        <v>-42.8</v>
      </c>
      <c r="K128">
        <v>-41.9</v>
      </c>
      <c r="L128">
        <v>-47.3</v>
      </c>
      <c r="M128">
        <v>-57.5</v>
      </c>
      <c r="N128">
        <v>-51.5</v>
      </c>
      <c r="O128">
        <v>-51.3</v>
      </c>
      <c r="P128">
        <v>-53.3</v>
      </c>
    </row>
    <row r="129" spans="1:16" x14ac:dyDescent="0.25">
      <c r="A129" t="s">
        <v>121</v>
      </c>
      <c r="B129">
        <v>87</v>
      </c>
      <c r="C129">
        <v>38</v>
      </c>
      <c r="D129">
        <v>14</v>
      </c>
      <c r="E129">
        <v>11</v>
      </c>
      <c r="F129">
        <v>11</v>
      </c>
      <c r="G129">
        <v>6</v>
      </c>
      <c r="H129">
        <v>13</v>
      </c>
      <c r="I129">
        <v>32</v>
      </c>
      <c r="J129">
        <v>51</v>
      </c>
      <c r="K129">
        <v>57</v>
      </c>
      <c r="L129">
        <v>34</v>
      </c>
      <c r="M129">
        <v>12</v>
      </c>
      <c r="N129">
        <v>23</v>
      </c>
      <c r="O129">
        <v>26</v>
      </c>
      <c r="P129">
        <v>21</v>
      </c>
    </row>
    <row r="130" spans="1:16" x14ac:dyDescent="0.25">
      <c r="A130" t="s">
        <v>122</v>
      </c>
      <c r="B130">
        <v>190</v>
      </c>
      <c r="C130">
        <v>194</v>
      </c>
      <c r="D130">
        <v>198</v>
      </c>
      <c r="E130">
        <v>202</v>
      </c>
      <c r="F130">
        <v>202</v>
      </c>
      <c r="G130">
        <v>203</v>
      </c>
      <c r="H130">
        <v>205</v>
      </c>
      <c r="I130">
        <v>196</v>
      </c>
      <c r="J130">
        <v>185</v>
      </c>
      <c r="K130">
        <v>164</v>
      </c>
      <c r="L130">
        <v>162</v>
      </c>
      <c r="M130">
        <v>199</v>
      </c>
      <c r="N130">
        <v>249</v>
      </c>
      <c r="O130">
        <v>237</v>
      </c>
      <c r="P130">
        <v>246</v>
      </c>
    </row>
    <row r="131" spans="1:16" x14ac:dyDescent="0.25">
      <c r="A131" t="s">
        <v>123</v>
      </c>
      <c r="B131">
        <v>42</v>
      </c>
      <c r="C131">
        <v>46</v>
      </c>
      <c r="D131">
        <v>48</v>
      </c>
      <c r="E131">
        <v>43</v>
      </c>
      <c r="F131">
        <v>40</v>
      </c>
      <c r="G131">
        <v>38</v>
      </c>
      <c r="H131">
        <v>34</v>
      </c>
      <c r="I131">
        <v>35</v>
      </c>
      <c r="J131">
        <v>38</v>
      </c>
      <c r="K131">
        <v>32</v>
      </c>
      <c r="L131">
        <v>20</v>
      </c>
      <c r="M131">
        <v>16</v>
      </c>
      <c r="N131">
        <v>22</v>
      </c>
      <c r="O131">
        <v>24</v>
      </c>
      <c r="P131">
        <v>28</v>
      </c>
    </row>
    <row r="133" spans="1:16" x14ac:dyDescent="0.25">
      <c r="A133" t="s">
        <v>124</v>
      </c>
      <c r="B133">
        <v>10866</v>
      </c>
      <c r="C133">
        <v>10877</v>
      </c>
      <c r="D133">
        <v>10887</v>
      </c>
      <c r="E133">
        <v>10892</v>
      </c>
      <c r="F133">
        <v>10880</v>
      </c>
      <c r="G133">
        <v>10897</v>
      </c>
      <c r="H133">
        <v>10900</v>
      </c>
      <c r="I133">
        <v>10892</v>
      </c>
      <c r="J133">
        <v>10874</v>
      </c>
      <c r="K133">
        <v>10872</v>
      </c>
      <c r="L133">
        <v>10865</v>
      </c>
      <c r="M133">
        <v>10851</v>
      </c>
      <c r="N133">
        <v>10833</v>
      </c>
      <c r="O133">
        <v>10838</v>
      </c>
      <c r="P133">
        <v>10845</v>
      </c>
    </row>
    <row r="134" spans="1:16" x14ac:dyDescent="0.25">
      <c r="A134" t="s">
        <v>125</v>
      </c>
      <c r="B134">
        <v>-45.2</v>
      </c>
      <c r="C134">
        <v>-44.2</v>
      </c>
      <c r="D134">
        <v>-44</v>
      </c>
      <c r="E134">
        <v>-43.9</v>
      </c>
      <c r="F134">
        <v>-44</v>
      </c>
      <c r="G134">
        <v>-44.2</v>
      </c>
      <c r="H134">
        <v>-44.6</v>
      </c>
      <c r="I134">
        <v>-45.5</v>
      </c>
      <c r="J134">
        <v>-46.2</v>
      </c>
      <c r="K134">
        <v>-46.7</v>
      </c>
      <c r="L134">
        <v>-46.6</v>
      </c>
      <c r="M134">
        <v>-45.8</v>
      </c>
      <c r="N134">
        <v>-46.7</v>
      </c>
      <c r="O134">
        <v>-46.8</v>
      </c>
      <c r="P134">
        <v>-47.1</v>
      </c>
    </row>
    <row r="135" spans="1:16" x14ac:dyDescent="0.25">
      <c r="A135" t="s">
        <v>126</v>
      </c>
      <c r="B135">
        <v>-56.8</v>
      </c>
      <c r="C135">
        <v>-61.8</v>
      </c>
      <c r="D135">
        <v>-62.6</v>
      </c>
      <c r="E135">
        <v>-62.6</v>
      </c>
      <c r="F135">
        <v>-61.7</v>
      </c>
      <c r="G135">
        <v>-58.4</v>
      </c>
      <c r="H135">
        <v>-50.8</v>
      </c>
      <c r="I135">
        <v>-52.3</v>
      </c>
      <c r="J135">
        <v>-52.4</v>
      </c>
      <c r="K135">
        <v>-53.5</v>
      </c>
      <c r="L135">
        <v>-58.7</v>
      </c>
      <c r="M135">
        <v>-63.9</v>
      </c>
      <c r="N135">
        <v>-62.7</v>
      </c>
      <c r="O135">
        <v>-61.5</v>
      </c>
      <c r="P135">
        <v>-59</v>
      </c>
    </row>
    <row r="136" spans="1:16" x14ac:dyDescent="0.25">
      <c r="A136" t="s">
        <v>127</v>
      </c>
      <c r="B136">
        <v>28</v>
      </c>
      <c r="C136">
        <v>14</v>
      </c>
      <c r="D136">
        <v>12</v>
      </c>
      <c r="E136">
        <v>12</v>
      </c>
      <c r="F136">
        <v>14</v>
      </c>
      <c r="G136">
        <v>21</v>
      </c>
      <c r="H136">
        <v>51</v>
      </c>
      <c r="I136">
        <v>48</v>
      </c>
      <c r="J136">
        <v>51</v>
      </c>
      <c r="K136">
        <v>48</v>
      </c>
      <c r="L136">
        <v>26</v>
      </c>
      <c r="M136">
        <v>13</v>
      </c>
      <c r="N136">
        <v>16</v>
      </c>
      <c r="O136">
        <v>19</v>
      </c>
      <c r="P136">
        <v>26</v>
      </c>
    </row>
    <row r="137" spans="1:16" x14ac:dyDescent="0.25">
      <c r="A137" t="s">
        <v>128</v>
      </c>
      <c r="B137">
        <v>198</v>
      </c>
      <c r="C137">
        <v>198</v>
      </c>
      <c r="D137">
        <v>201</v>
      </c>
      <c r="E137">
        <v>201</v>
      </c>
      <c r="F137">
        <v>198</v>
      </c>
      <c r="G137">
        <v>200</v>
      </c>
      <c r="H137">
        <v>198</v>
      </c>
      <c r="I137">
        <v>193</v>
      </c>
      <c r="J137">
        <v>186</v>
      </c>
      <c r="K137">
        <v>172</v>
      </c>
      <c r="L137">
        <v>171</v>
      </c>
      <c r="M137">
        <v>210</v>
      </c>
      <c r="N137">
        <v>234</v>
      </c>
      <c r="O137">
        <v>233</v>
      </c>
      <c r="P137">
        <v>237</v>
      </c>
    </row>
    <row r="138" spans="1:16" x14ac:dyDescent="0.25">
      <c r="A138" t="s">
        <v>129</v>
      </c>
      <c r="B138">
        <v>57</v>
      </c>
      <c r="C138">
        <v>60</v>
      </c>
      <c r="D138">
        <v>58</v>
      </c>
      <c r="E138">
        <v>54</v>
      </c>
      <c r="F138">
        <v>51</v>
      </c>
      <c r="G138">
        <v>51</v>
      </c>
      <c r="H138">
        <v>45</v>
      </c>
      <c r="I138">
        <v>44</v>
      </c>
      <c r="J138">
        <v>46</v>
      </c>
      <c r="K138">
        <v>37</v>
      </c>
      <c r="L138">
        <v>26</v>
      </c>
      <c r="M138">
        <v>20</v>
      </c>
      <c r="N138">
        <v>25</v>
      </c>
      <c r="O138">
        <v>26</v>
      </c>
      <c r="P138">
        <v>32</v>
      </c>
    </row>
    <row r="140" spans="1:16" x14ac:dyDescent="0.25">
      <c r="A140" t="s">
        <v>130</v>
      </c>
      <c r="B140">
        <v>12327</v>
      </c>
      <c r="C140">
        <v>12339</v>
      </c>
      <c r="D140">
        <v>12351</v>
      </c>
      <c r="E140">
        <v>12355</v>
      </c>
      <c r="F140">
        <v>12342</v>
      </c>
      <c r="G140">
        <v>12354</v>
      </c>
      <c r="H140">
        <v>12354</v>
      </c>
      <c r="I140">
        <v>12342</v>
      </c>
      <c r="J140">
        <v>12317</v>
      </c>
      <c r="K140">
        <v>12316</v>
      </c>
      <c r="L140">
        <v>12315</v>
      </c>
      <c r="M140">
        <v>12308</v>
      </c>
      <c r="N140">
        <v>12287</v>
      </c>
      <c r="O140">
        <v>12289</v>
      </c>
      <c r="P140">
        <v>12296</v>
      </c>
    </row>
    <row r="141" spans="1:16" x14ac:dyDescent="0.25">
      <c r="A141" t="s">
        <v>131</v>
      </c>
      <c r="B141">
        <v>-53.1</v>
      </c>
      <c r="C141">
        <v>-53.7</v>
      </c>
      <c r="D141">
        <v>-53.8</v>
      </c>
      <c r="E141">
        <v>-53.8</v>
      </c>
      <c r="F141">
        <v>-53.9</v>
      </c>
      <c r="G141">
        <v>-54.4</v>
      </c>
      <c r="H141">
        <v>-55.2</v>
      </c>
      <c r="I141">
        <v>-55.7</v>
      </c>
      <c r="J141">
        <v>-56.2</v>
      </c>
      <c r="K141">
        <v>-55.3</v>
      </c>
      <c r="L141">
        <v>-53.8</v>
      </c>
      <c r="M141">
        <v>-52.7</v>
      </c>
      <c r="N141">
        <v>-52.5</v>
      </c>
      <c r="O141">
        <v>-53</v>
      </c>
      <c r="P141">
        <v>-53.9</v>
      </c>
    </row>
    <row r="142" spans="1:16" x14ac:dyDescent="0.25">
      <c r="A142" t="s">
        <v>132</v>
      </c>
      <c r="B142">
        <v>-71.900000000000006</v>
      </c>
      <c r="C142">
        <v>-66.900000000000006</v>
      </c>
      <c r="D142">
        <v>-64.900000000000006</v>
      </c>
      <c r="E142">
        <v>-65.2</v>
      </c>
      <c r="F142">
        <v>-65.900000000000006</v>
      </c>
      <c r="G142">
        <v>-62.6</v>
      </c>
      <c r="H142">
        <v>-61</v>
      </c>
      <c r="I142">
        <v>-62.9</v>
      </c>
      <c r="J142">
        <v>-65.5</v>
      </c>
      <c r="K142">
        <v>-70.099999999999994</v>
      </c>
      <c r="L142">
        <v>-71.7</v>
      </c>
      <c r="M142">
        <v>-75.3</v>
      </c>
      <c r="N142">
        <v>-73.2</v>
      </c>
      <c r="O142">
        <v>-68</v>
      </c>
      <c r="P142">
        <v>-66.599999999999994</v>
      </c>
    </row>
    <row r="143" spans="1:16" x14ac:dyDescent="0.25">
      <c r="A143" t="s">
        <v>133</v>
      </c>
      <c r="B143">
        <v>10</v>
      </c>
      <c r="C143">
        <v>21</v>
      </c>
      <c r="D143">
        <v>27</v>
      </c>
      <c r="E143">
        <v>26</v>
      </c>
      <c r="F143">
        <v>24</v>
      </c>
      <c r="G143">
        <v>38</v>
      </c>
      <c r="H143">
        <v>51</v>
      </c>
      <c r="I143">
        <v>43</v>
      </c>
      <c r="J143">
        <v>33</v>
      </c>
      <c r="K143">
        <v>16</v>
      </c>
      <c r="L143">
        <v>11</v>
      </c>
      <c r="M143">
        <v>6</v>
      </c>
      <c r="N143">
        <v>8</v>
      </c>
      <c r="O143">
        <v>17</v>
      </c>
      <c r="P143">
        <v>22</v>
      </c>
    </row>
    <row r="144" spans="1:16" x14ac:dyDescent="0.25">
      <c r="A144" t="s">
        <v>134</v>
      </c>
      <c r="B144">
        <v>198</v>
      </c>
      <c r="C144">
        <v>198</v>
      </c>
      <c r="D144">
        <v>200</v>
      </c>
      <c r="E144">
        <v>202</v>
      </c>
      <c r="F144">
        <v>203</v>
      </c>
      <c r="G144">
        <v>197</v>
      </c>
      <c r="H144">
        <v>191</v>
      </c>
      <c r="I144">
        <v>196</v>
      </c>
      <c r="J144">
        <v>201</v>
      </c>
      <c r="K144">
        <v>196</v>
      </c>
      <c r="L144">
        <v>197</v>
      </c>
      <c r="M144">
        <v>214</v>
      </c>
      <c r="N144">
        <v>225</v>
      </c>
      <c r="O144">
        <v>222</v>
      </c>
      <c r="P144">
        <v>229</v>
      </c>
    </row>
    <row r="145" spans="1:16" x14ac:dyDescent="0.25">
      <c r="A145" t="s">
        <v>135</v>
      </c>
      <c r="B145">
        <v>66</v>
      </c>
      <c r="C145">
        <v>70</v>
      </c>
      <c r="D145">
        <v>68</v>
      </c>
      <c r="E145">
        <v>60</v>
      </c>
      <c r="F145">
        <v>54</v>
      </c>
      <c r="G145">
        <v>50</v>
      </c>
      <c r="H145">
        <v>49</v>
      </c>
      <c r="I145">
        <v>44</v>
      </c>
      <c r="J145">
        <v>41</v>
      </c>
      <c r="K145">
        <v>39</v>
      </c>
      <c r="L145">
        <v>32</v>
      </c>
      <c r="M145">
        <v>31</v>
      </c>
      <c r="N145">
        <v>31</v>
      </c>
      <c r="O145">
        <v>29</v>
      </c>
      <c r="P145">
        <v>42</v>
      </c>
    </row>
    <row r="147" spans="1:16" x14ac:dyDescent="0.25">
      <c r="A147" t="s">
        <v>136</v>
      </c>
      <c r="B147">
        <v>14143</v>
      </c>
      <c r="C147">
        <v>14148</v>
      </c>
      <c r="D147">
        <v>14163</v>
      </c>
      <c r="E147">
        <v>14169</v>
      </c>
      <c r="F147">
        <v>14158</v>
      </c>
      <c r="G147">
        <v>14166</v>
      </c>
      <c r="H147">
        <v>14165</v>
      </c>
      <c r="I147">
        <v>14156</v>
      </c>
      <c r="J147">
        <v>14137</v>
      </c>
      <c r="K147">
        <v>14144</v>
      </c>
      <c r="L147">
        <v>14156</v>
      </c>
      <c r="M147">
        <v>14159</v>
      </c>
      <c r="N147">
        <v>14141</v>
      </c>
      <c r="O147">
        <v>14145</v>
      </c>
      <c r="P147">
        <v>14133</v>
      </c>
    </row>
    <row r="148" spans="1:16" x14ac:dyDescent="0.25">
      <c r="A148" t="s">
        <v>137</v>
      </c>
      <c r="B148">
        <v>-61.3</v>
      </c>
      <c r="C148">
        <v>-61.5</v>
      </c>
      <c r="D148">
        <v>-60.2</v>
      </c>
      <c r="E148">
        <v>-60.7</v>
      </c>
      <c r="F148">
        <v>-60.7</v>
      </c>
      <c r="G148">
        <v>-60.4</v>
      </c>
      <c r="H148">
        <v>-60.4</v>
      </c>
      <c r="I148">
        <v>-59.3</v>
      </c>
      <c r="J148">
        <v>-58</v>
      </c>
      <c r="K148">
        <v>-57.4</v>
      </c>
      <c r="L148">
        <v>-56.1</v>
      </c>
      <c r="M148">
        <v>-55.2</v>
      </c>
      <c r="N148">
        <v>-55.4</v>
      </c>
      <c r="O148">
        <v>-55.5</v>
      </c>
      <c r="P148">
        <v>-55.3</v>
      </c>
    </row>
    <row r="149" spans="1:16" x14ac:dyDescent="0.25">
      <c r="A149" t="s">
        <v>138</v>
      </c>
      <c r="B149">
        <v>-78.5</v>
      </c>
      <c r="C149">
        <v>-76</v>
      </c>
      <c r="D149">
        <v>-75.5</v>
      </c>
      <c r="E149">
        <v>-75.3</v>
      </c>
      <c r="F149">
        <v>-75.8</v>
      </c>
      <c r="G149">
        <v>-75.8</v>
      </c>
      <c r="H149">
        <v>-75.599999999999994</v>
      </c>
      <c r="I149">
        <v>-77.3</v>
      </c>
      <c r="J149">
        <v>-79.400000000000006</v>
      </c>
      <c r="K149">
        <v>-79.900000000000006</v>
      </c>
      <c r="L149">
        <v>-81.900000000000006</v>
      </c>
      <c r="M149">
        <v>-84.8</v>
      </c>
      <c r="N149">
        <v>-85.3</v>
      </c>
      <c r="O149">
        <v>-82.2</v>
      </c>
      <c r="P149">
        <v>-82.6</v>
      </c>
    </row>
    <row r="150" spans="1:16" x14ac:dyDescent="0.25">
      <c r="A150" t="s">
        <v>139</v>
      </c>
      <c r="B150">
        <v>10</v>
      </c>
      <c r="C150">
        <v>15</v>
      </c>
      <c r="D150">
        <v>14</v>
      </c>
      <c r="E150">
        <v>15</v>
      </c>
      <c r="F150">
        <v>14</v>
      </c>
      <c r="G150">
        <v>14</v>
      </c>
      <c r="H150">
        <v>14</v>
      </c>
      <c r="I150">
        <v>10</v>
      </c>
      <c r="J150">
        <v>6</v>
      </c>
      <c r="K150">
        <v>5</v>
      </c>
      <c r="L150">
        <v>3</v>
      </c>
      <c r="M150">
        <v>2</v>
      </c>
      <c r="N150">
        <v>2</v>
      </c>
      <c r="O150">
        <v>3</v>
      </c>
      <c r="P150">
        <v>3</v>
      </c>
    </row>
    <row r="151" spans="1:16" x14ac:dyDescent="0.25">
      <c r="A151" t="s">
        <v>140</v>
      </c>
      <c r="B151">
        <v>198</v>
      </c>
      <c r="C151">
        <v>205</v>
      </c>
      <c r="D151">
        <v>208</v>
      </c>
      <c r="E151">
        <v>207</v>
      </c>
      <c r="F151">
        <v>206</v>
      </c>
      <c r="G151">
        <v>201</v>
      </c>
      <c r="H151">
        <v>198</v>
      </c>
      <c r="I151">
        <v>206</v>
      </c>
      <c r="J151">
        <v>216</v>
      </c>
      <c r="K151">
        <v>216</v>
      </c>
      <c r="L151">
        <v>229</v>
      </c>
      <c r="M151">
        <v>226</v>
      </c>
      <c r="N151">
        <v>217</v>
      </c>
      <c r="O151">
        <v>201</v>
      </c>
      <c r="P151">
        <v>212</v>
      </c>
    </row>
    <row r="152" spans="1:16" x14ac:dyDescent="0.25">
      <c r="A152" t="s">
        <v>141</v>
      </c>
      <c r="B152">
        <v>52</v>
      </c>
      <c r="C152">
        <v>52</v>
      </c>
      <c r="D152">
        <v>45</v>
      </c>
      <c r="E152">
        <v>43</v>
      </c>
      <c r="F152">
        <v>39</v>
      </c>
      <c r="G152">
        <v>35</v>
      </c>
      <c r="H152">
        <v>35</v>
      </c>
      <c r="I152">
        <v>34</v>
      </c>
      <c r="J152">
        <v>26</v>
      </c>
      <c r="K152">
        <v>22</v>
      </c>
      <c r="L152">
        <v>28</v>
      </c>
      <c r="M152">
        <v>26</v>
      </c>
      <c r="N152">
        <v>24</v>
      </c>
      <c r="O152">
        <v>33</v>
      </c>
      <c r="P152">
        <v>41</v>
      </c>
    </row>
    <row r="154" spans="1:16" x14ac:dyDescent="0.25">
      <c r="A154" t="s">
        <v>142</v>
      </c>
      <c r="B154">
        <v>16637</v>
      </c>
      <c r="C154">
        <v>16653</v>
      </c>
      <c r="D154">
        <v>16667</v>
      </c>
      <c r="E154">
        <v>16666</v>
      </c>
      <c r="F154">
        <v>16657</v>
      </c>
      <c r="G154">
        <v>16669</v>
      </c>
      <c r="H154">
        <v>16672</v>
      </c>
      <c r="I154">
        <v>16676</v>
      </c>
      <c r="J154">
        <v>16656</v>
      </c>
      <c r="K154">
        <v>16661</v>
      </c>
      <c r="L154">
        <v>16671</v>
      </c>
      <c r="M154">
        <v>16679</v>
      </c>
      <c r="N154">
        <v>16656</v>
      </c>
      <c r="O154">
        <v>16662</v>
      </c>
      <c r="P154">
        <v>16658</v>
      </c>
    </row>
    <row r="155" spans="1:16" x14ac:dyDescent="0.25">
      <c r="A155" t="s">
        <v>152</v>
      </c>
      <c r="B155">
        <v>-63.1</v>
      </c>
      <c r="C155">
        <v>-62.1</v>
      </c>
      <c r="D155">
        <v>-63.8</v>
      </c>
      <c r="E155">
        <v>-62.9</v>
      </c>
      <c r="F155">
        <v>-63.7</v>
      </c>
      <c r="G155">
        <v>-63.4</v>
      </c>
      <c r="H155">
        <v>-61.8</v>
      </c>
      <c r="I155">
        <v>-62.3</v>
      </c>
      <c r="J155">
        <v>-63.2</v>
      </c>
      <c r="K155">
        <v>-63</v>
      </c>
      <c r="L155">
        <v>-63.1</v>
      </c>
      <c r="M155">
        <v>-64</v>
      </c>
      <c r="N155">
        <v>-64.099999999999994</v>
      </c>
      <c r="O155">
        <v>-63.8</v>
      </c>
      <c r="P155">
        <v>-63.5</v>
      </c>
    </row>
    <row r="156" spans="1:16" x14ac:dyDescent="0.25">
      <c r="A156" t="s">
        <v>153</v>
      </c>
      <c r="B156">
        <v>-81.5</v>
      </c>
      <c r="C156">
        <v>-81.599999999999994</v>
      </c>
      <c r="D156">
        <v>-82</v>
      </c>
      <c r="E156">
        <v>-82.6</v>
      </c>
      <c r="F156">
        <v>-82.9</v>
      </c>
      <c r="G156">
        <v>-82.7</v>
      </c>
      <c r="H156">
        <v>-82.4</v>
      </c>
      <c r="I156">
        <v>-82.1</v>
      </c>
      <c r="J156">
        <v>-81.900000000000006</v>
      </c>
      <c r="K156">
        <v>-82.3</v>
      </c>
      <c r="L156">
        <v>-82.3</v>
      </c>
      <c r="M156">
        <v>-82.2</v>
      </c>
      <c r="N156">
        <v>-82.3</v>
      </c>
      <c r="O156">
        <v>-82.9</v>
      </c>
      <c r="P156">
        <v>-82.9</v>
      </c>
    </row>
    <row r="157" spans="1:16" x14ac:dyDescent="0.25">
      <c r="A157" t="s">
        <v>154</v>
      </c>
      <c r="B157">
        <v>8</v>
      </c>
      <c r="C157">
        <v>7</v>
      </c>
      <c r="D157">
        <v>8</v>
      </c>
      <c r="E157">
        <v>7</v>
      </c>
      <c r="F157">
        <v>7</v>
      </c>
      <c r="G157">
        <v>7</v>
      </c>
      <c r="H157">
        <v>6</v>
      </c>
      <c r="I157">
        <v>7</v>
      </c>
      <c r="J157">
        <v>8</v>
      </c>
      <c r="K157">
        <v>7</v>
      </c>
      <c r="L157">
        <v>7</v>
      </c>
      <c r="M157">
        <v>8</v>
      </c>
      <c r="N157">
        <v>8</v>
      </c>
      <c r="O157">
        <v>7</v>
      </c>
      <c r="P157">
        <v>7</v>
      </c>
    </row>
    <row r="158" spans="1:16" x14ac:dyDescent="0.25">
      <c r="A158" t="s">
        <v>155</v>
      </c>
      <c r="B158">
        <v>187</v>
      </c>
      <c r="C158">
        <v>190</v>
      </c>
      <c r="D158">
        <v>208</v>
      </c>
      <c r="E158">
        <v>239</v>
      </c>
      <c r="F158">
        <v>176</v>
      </c>
      <c r="G158">
        <v>210</v>
      </c>
      <c r="H158">
        <v>238</v>
      </c>
      <c r="I158">
        <v>177</v>
      </c>
      <c r="J158">
        <v>207</v>
      </c>
      <c r="K158">
        <v>234</v>
      </c>
      <c r="L158">
        <v>248</v>
      </c>
      <c r="M158">
        <v>223</v>
      </c>
      <c r="N158">
        <v>171</v>
      </c>
      <c r="O158">
        <v>191</v>
      </c>
      <c r="P158">
        <v>202</v>
      </c>
    </row>
    <row r="159" spans="1:16" x14ac:dyDescent="0.25">
      <c r="A159" t="s">
        <v>156</v>
      </c>
      <c r="B159">
        <v>14</v>
      </c>
      <c r="C159">
        <v>6</v>
      </c>
      <c r="D159">
        <v>18</v>
      </c>
      <c r="E159">
        <v>9</v>
      </c>
      <c r="F159">
        <v>15</v>
      </c>
      <c r="G159">
        <v>20</v>
      </c>
      <c r="H159">
        <v>9</v>
      </c>
      <c r="I159">
        <v>5</v>
      </c>
      <c r="J159">
        <v>10</v>
      </c>
      <c r="K159">
        <v>9</v>
      </c>
      <c r="L159">
        <v>9</v>
      </c>
      <c r="M159">
        <v>2</v>
      </c>
      <c r="N159">
        <v>8</v>
      </c>
      <c r="O159">
        <v>12</v>
      </c>
      <c r="P159">
        <v>10</v>
      </c>
    </row>
    <row r="160" spans="1:16" x14ac:dyDescent="0.25">
      <c r="A160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Sheet1</vt:lpstr>
      <vt:lpstr>Sheet2</vt:lpstr>
      <vt:lpstr>data</vt:lpstr>
      <vt:lpstr>Sheet2!index.php?metarIds_KRDD_hoursStr_most_recent_only_std_trans_standard_num_metars_number_submit_metars_Retrieve</vt:lpstr>
      <vt:lpstr>data!NAM_KBNY</vt:lpstr>
      <vt:lpstr>data!NAM_KBNY_1</vt:lpstr>
      <vt:lpstr>data!NAM_KBNY_10</vt:lpstr>
      <vt:lpstr>data!NAM_KBNY_11</vt:lpstr>
      <vt:lpstr>data!NAM_KBNY_12</vt:lpstr>
      <vt:lpstr>data!NAM_KBNY_13</vt:lpstr>
      <vt:lpstr>data!NAM_KBNY_14</vt:lpstr>
      <vt:lpstr>data!NAM_KBNY_15</vt:lpstr>
      <vt:lpstr>data!NAM_KBNY_16</vt:lpstr>
      <vt:lpstr>data!NAM_KBNY_17</vt:lpstr>
      <vt:lpstr>data!NAM_KBNY_19</vt:lpstr>
      <vt:lpstr>data!NAM_KBNY_2</vt:lpstr>
      <vt:lpstr>data!NAM_KBNY_20</vt:lpstr>
      <vt:lpstr>data!NAM_KBNY_21</vt:lpstr>
      <vt:lpstr>data!NAM_KBNY_22</vt:lpstr>
      <vt:lpstr>data!NAM_KBNY_23</vt:lpstr>
      <vt:lpstr>data!NAM_KBNY_24</vt:lpstr>
      <vt:lpstr>data!NAM_KBNY_25</vt:lpstr>
      <vt:lpstr>data!NAM_KBNY_26</vt:lpstr>
      <vt:lpstr>data!NAM_KBNY_27</vt:lpstr>
      <vt:lpstr>data!NAM_KBNY_28</vt:lpstr>
      <vt:lpstr>data!NAM_KBNY_29</vt:lpstr>
      <vt:lpstr>data!NAM_KBNY_3</vt:lpstr>
      <vt:lpstr>data!NAM_KBNY_30</vt:lpstr>
      <vt:lpstr>data!NAM_KBNY_31</vt:lpstr>
      <vt:lpstr>data!NAM_KBNY_32</vt:lpstr>
      <vt:lpstr>data!NAM_KBNY_33</vt:lpstr>
      <vt:lpstr>data!NAM_KBNY_34</vt:lpstr>
      <vt:lpstr>data!NAM_KBNY_4</vt:lpstr>
      <vt:lpstr>data!NAM_KBNY_5</vt:lpstr>
      <vt:lpstr>data!NAM_KBNY_6</vt:lpstr>
      <vt:lpstr>data!NAM_KBNY_7</vt:lpstr>
      <vt:lpstr>data!NAM_KBNY_8</vt:lpstr>
      <vt:lpstr>data!NAM_KBNY_9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</dc:creator>
  <cp:lastModifiedBy>Kurt</cp:lastModifiedBy>
  <dcterms:created xsi:type="dcterms:W3CDTF">2014-07-26T23:18:16Z</dcterms:created>
  <dcterms:modified xsi:type="dcterms:W3CDTF">2014-07-27T18:52:01Z</dcterms:modified>
</cp:coreProperties>
</file>